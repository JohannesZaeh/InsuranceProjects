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2.xml" ContentType="application/vnd.ms-excel.controlproperties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ctrlProps/ctrlProp3.xml" ContentType="application/vnd.ms-excel.controlproperties+xml"/>
  <Override PartName="/xl/comments3.xml" ContentType="application/vnd.openxmlformats-officedocument.spreadsheetml.comments+xml"/>
  <Override PartName="/xl/charts/chartEx1.xml" ContentType="application/vnd.ms-office.chartex+xml"/>
  <Override PartName="/xl/charts/style1.xml" ContentType="application/vnd.ms-office.chartstyle+xml"/>
  <Override PartName="/xl/charts/colors1.xml" ContentType="application/vnd.ms-office.chartcolorstyle+xml"/>
  <Override PartName="/xl/drawings/drawing4.xml" ContentType="application/vnd.openxmlformats-officedocument.drawing+xml"/>
  <Override PartName="/xl/ctrlProps/ctrlProp4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726" codeName="{1BF75E64-36B4-4512-B9E4-3ED0869CA821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4b726\Documents\Studium\WiMa-Praktikum\"/>
    </mc:Choice>
  </mc:AlternateContent>
  <xr:revisionPtr revIDLastSave="0" documentId="13_ncr:1_{8643EB2F-E609-439D-9292-F181B67A5985}" xr6:coauthVersionLast="47" xr6:coauthVersionMax="47" xr10:uidLastSave="{00000000-0000-0000-0000-000000000000}"/>
  <bookViews>
    <workbookView xWindow="-110" yWindow="-110" windowWidth="19420" windowHeight="12300" activeTab="2" xr2:uid="{77BF2047-17AA-4F1A-A547-2192C3D09155}"/>
  </bookViews>
  <sheets>
    <sheet name="single_premium" sheetId="1" r:id="rId1"/>
    <sheet name="regular_premium" sheetId="3" r:id="rId2"/>
    <sheet name="delta_hedging" sheetId="4" r:id="rId3"/>
    <sheet name="parameter_risk_analysis" sheetId="5" r:id="rId4"/>
    <sheet name="help" sheetId="2" state="hidden" r:id="rId5"/>
  </sheets>
  <functionGroups builtInGroupCount="19"/>
  <definedNames>
    <definedName name="_xlchart.v1.0" hidden="1">delta_hedging!$F$2:$F$1001</definedName>
    <definedName name="_xlchart.v1.1" hidden="1">delta_hedging!$F$2:$F$1001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18" i="4" l="1"/>
  <c r="B13" i="4"/>
  <c r="B12" i="4"/>
  <c r="B14" i="4"/>
  <c r="B17" i="4"/>
  <c r="B16" i="4" a="1"/>
  <c r="B15" i="4" a="1"/>
  <c r="B16" i="4" l="1"/>
  <c r="B15" i="4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Johannes Zäh</author>
  </authors>
  <commentList>
    <comment ref="A4" authorId="0" shapeId="0" xr:uid="{54C636EB-90C3-454C-BDFB-9A69033B9505}">
      <text>
        <r>
          <rPr>
            <b/>
            <sz val="9"/>
            <color indexed="81"/>
            <rFont val="Tahoma"/>
            <family val="2"/>
          </rPr>
          <t>Johannes Zäh:</t>
        </r>
        <r>
          <rPr>
            <sz val="9"/>
            <color indexed="81"/>
            <rFont val="Tahoma"/>
            <family val="2"/>
          </rPr>
          <t xml:space="preserve">
In percentage of premium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Johannes Zäh</author>
  </authors>
  <commentList>
    <comment ref="A4" authorId="0" shapeId="0" xr:uid="{14713AD2-B946-475F-A30D-1127C049037F}">
      <text>
        <r>
          <rPr>
            <b/>
            <sz val="9"/>
            <color indexed="81"/>
            <rFont val="Tahoma"/>
            <family val="2"/>
          </rPr>
          <t>Johannes Zäh:</t>
        </r>
        <r>
          <rPr>
            <sz val="9"/>
            <color indexed="81"/>
            <rFont val="Tahoma"/>
            <family val="2"/>
          </rPr>
          <t xml:space="preserve">
In percentage of single_premium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Johannes Zäh</author>
  </authors>
  <commentList>
    <comment ref="A3" authorId="0" shapeId="0" xr:uid="{F2827F9E-585B-4481-846A-E41C4897E6DD}">
      <text>
        <r>
          <rPr>
            <b/>
            <sz val="9"/>
            <color indexed="81"/>
            <rFont val="Tahoma"/>
            <charset val="1"/>
          </rPr>
          <t>Johannes Zäh:</t>
        </r>
        <r>
          <rPr>
            <sz val="9"/>
            <color indexed="81"/>
            <rFont val="Tahoma"/>
            <charset val="1"/>
          </rPr>
          <t xml:space="preserve">
in years</t>
        </r>
      </text>
    </comment>
    <comment ref="A4" authorId="0" shapeId="0" xr:uid="{7B04A989-C115-4042-B848-B96700D724F8}">
      <text>
        <r>
          <rPr>
            <b/>
            <sz val="9"/>
            <color indexed="81"/>
            <rFont val="Tahoma"/>
            <family val="2"/>
          </rPr>
          <t>Johannes Zäh:</t>
        </r>
        <r>
          <rPr>
            <sz val="9"/>
            <color indexed="81"/>
            <rFont val="Tahoma"/>
            <family val="2"/>
          </rPr>
          <t xml:space="preserve">
In percentage of single_premium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<sst xmlns="http://schemas.openxmlformats.org/spreadsheetml/2006/main" count="71" uniqueCount="35">
  <si>
    <t>input</t>
  </si>
  <si>
    <t>maturity</t>
  </si>
  <si>
    <t>guarantee</t>
  </si>
  <si>
    <t>interest</t>
  </si>
  <si>
    <t>drift</t>
  </si>
  <si>
    <t>volatility</t>
  </si>
  <si>
    <t>guarantee_additional</t>
  </si>
  <si>
    <t>guarantee_included_upfront</t>
  </si>
  <si>
    <t>guarantee_included_annually</t>
  </si>
  <si>
    <t>premium</t>
  </si>
  <si>
    <t>alpha</t>
  </si>
  <si>
    <t>beta</t>
  </si>
  <si>
    <t>gamma</t>
  </si>
  <si>
    <t>fair_guarantee_charge</t>
  </si>
  <si>
    <t>0.1% quantile</t>
  </si>
  <si>
    <t>5% quantile</t>
  </si>
  <si>
    <t>1% quantile</t>
  </si>
  <si>
    <t>5% CTE</t>
  </si>
  <si>
    <t>10% CTE</t>
  </si>
  <si>
    <t>Mean</t>
  </si>
  <si>
    <t>path</t>
  </si>
  <si>
    <t>profit_loss</t>
  </si>
  <si>
    <t>hedging_strategy</t>
  </si>
  <si>
    <t>DO_NOTHING</t>
  </si>
  <si>
    <t>ANNUAL_DELTA_HEDGE</t>
  </si>
  <si>
    <t>MONTHLY_DELTA_HEDGE</t>
  </si>
  <si>
    <t>Standard Deviation</t>
  </si>
  <si>
    <t>riskless_rate</t>
  </si>
  <si>
    <t>P/L standard deviation</t>
  </si>
  <si>
    <t>The parameters are read from the sheet "delta_hedging" (especially the hedging_strategy!). Then for each parameter here 1000 paths will be simulated and the standard deviation calculated.</t>
  </si>
  <si>
    <t>Saved Results:</t>
  </si>
  <si>
    <t>Annual Delta Hedging:</t>
  </si>
  <si>
    <t>Monthly Delta Hedging:</t>
  </si>
  <si>
    <t>Do Nothing:</t>
  </si>
  <si>
    <t>Observations: 
For all hedging strategies standard deviation of the profit/loss
decreases with increasing riskless_rate,
decreases with increasing drift and 
increases with increasing volatility.
It is noticable that monthly delta hedging is the most stable with respect to these 3 parameters.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</si>
</sst>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Aptos Narrow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1"/>
      <name val="Aptos Narrow"/>
      <family val="2"/>
      <scheme val="minor"/>
    </font>
    <font>
      <sz val="9"/>
      <color indexed="81"/>
      <name val="Tahoma"/>
      <charset val="1"/>
    </font>
    <font>
      <b/>
      <sz val="9"/>
      <color indexed="81"/>
      <name val="Tahoma"/>
      <charset val="1"/>
    </font>
  </fonts>
  <fills count="5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13">
    <xf numFmtId="0" fontId="0" fillId="0" borderId="0" xfId="0"/>
    <xf numFmtId="0" fontId="0" fillId="2" borderId="0" xfId="0" applyFill="1"/>
    <xf numFmtId="0" fontId="0" fillId="3" borderId="0" xfId="0" applyFill="1"/>
    <xf numFmtId="0" fontId="0" fillId="0" borderId="0" xfId="0" applyFill="1"/>
    <xf numFmtId="0" fontId="0" fillId="4" borderId="0" xfId="0" applyFill="1"/>
    <xf numFmtId="0" fontId="0" fillId="2" borderId="1" xfId="0" applyFill="1" applyBorder="1"/>
    <xf numFmtId="0" fontId="0" fillId="3" borderId="1" xfId="0" applyFill="1" applyBorder="1"/>
    <xf numFmtId="0" fontId="0" fillId="2" borderId="1" xfId="0" applyFill="1" applyBorder="1" applyAlignment="1">
      <alignment horizontal="center"/>
    </xf>
    <xf numFmtId="0" fontId="0" fillId="0" borderId="1" xfId="0" applyBorder="1"/>
    <xf numFmtId="0" fontId="0" fillId="0" borderId="0" xfId="0" applyAlignment="1">
      <alignment horizontal="center" vertical="center"/>
    </xf>
    <xf numFmtId="0" fontId="0" fillId="4" borderId="1" xfId="0" applyFill="1" applyBorder="1"/>
    <xf numFmtId="0" fontId="0" fillId="0" borderId="0" xfId="0" applyAlignment="1">
      <alignment horizontal="left" vertical="top" wrapText="1"/>
    </xf>
    <xf numFmtId="0" fontId="3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harts/_rels/chartEx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Ex1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_xlchart.v1.1</cx:f>
      </cx:numDim>
    </cx:data>
  </cx:chartData>
  <cx:chart>
    <cx:title pos="t" align="ctr" overlay="0">
      <cx:tx>
        <cx:txData>
          <cx:v>Profit/Loss Distribution</cx:v>
        </cx:txData>
      </cx:tx>
      <cx:txPr>
        <a:bodyPr spcFirstLastPara="1" vertOverflow="ellipsis" horzOverflow="overflow" wrap="square" lIns="0" tIns="0" rIns="0" bIns="0" anchor="ctr" anchorCtr="1"/>
        <a:lstStyle/>
        <a:p>
          <a:pPr algn="ctr" rtl="0">
            <a:defRPr/>
          </a:pPr>
          <a:r>
            <a:rPr lang="en-US" sz="14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Aptos Narrow" panose="02110004020202020204"/>
            </a:rPr>
            <a:t>Profit/Loss Distribution</a:t>
          </a:r>
        </a:p>
      </cx:txPr>
    </cx:title>
    <cx:plotArea>
      <cx:plotAreaRegion>
        <cx:series layoutId="clusteredColumn" uniqueId="{A0204619-74F9-48C2-AB3D-3597CB2C6B4C}">
          <cx:dataId val="0"/>
          <cx:layoutPr>
            <cx:binning intervalClosed="r">
              <cx:binSize val="2000"/>
            </cx:binning>
          </cx:layoutPr>
        </cx:series>
      </cx:plotAreaRegion>
      <cx:axis id="0">
        <cx:catScaling gapWidth="0"/>
        <cx:tickLabels/>
        <cx:numFmt formatCode="0" sourceLinked="0"/>
      </cx:axis>
      <cx:axis id="1">
        <cx:valScaling/>
        <cx:majorGridlines/>
        <cx:tickLabels/>
      </cx:axis>
    </cx:plotArea>
  </cx:chart>
</cx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6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1" Type="http://schemas.microsoft.com/office/2014/relationships/chartEx" Target="../charts/chartEx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12</xdr:row>
          <xdr:rowOff>19050</xdr:rowOff>
        </xdr:from>
        <xdr:to>
          <xdr:col>2</xdr:col>
          <xdr:colOff>0</xdr:colOff>
          <xdr:row>13</xdr:row>
          <xdr:rowOff>6350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DE" sz="1100" b="0" i="0" u="none" strike="noStrike" baseline="0">
                  <a:solidFill>
                    <a:srgbClr val="000000"/>
                  </a:solidFill>
                  <a:latin typeface="Aptos Narrow"/>
                </a:rPr>
                <a:t>calculate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1695450</xdr:colOff>
          <xdr:row>14</xdr:row>
          <xdr:rowOff>0</xdr:rowOff>
        </xdr:from>
        <xdr:to>
          <xdr:col>1</xdr:col>
          <xdr:colOff>819150</xdr:colOff>
          <xdr:row>15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DE" sz="1100" b="0" i="0" u="none" strike="noStrike" baseline="0">
                  <a:solidFill>
                    <a:srgbClr val="000000"/>
                  </a:solidFill>
                  <a:latin typeface="Aptos Narrow"/>
                </a:rPr>
                <a:t>calculate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6350</xdr:colOff>
          <xdr:row>19</xdr:row>
          <xdr:rowOff>6350</xdr:rowOff>
        </xdr:from>
        <xdr:to>
          <xdr:col>2</xdr:col>
          <xdr:colOff>12700</xdr:colOff>
          <xdr:row>20</xdr:row>
          <xdr:rowOff>6350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2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DE" sz="1100" b="0" i="0" u="none" strike="noStrike" baseline="0">
                  <a:solidFill>
                    <a:srgbClr val="000000"/>
                  </a:solidFill>
                  <a:latin typeface="Aptos Narrow"/>
                </a:rPr>
                <a:t>calculate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</xdr:row>
      <xdr:rowOff>0</xdr:rowOff>
    </xdr:from>
    <xdr:to>
      <xdr:col>14</xdr:col>
      <xdr:colOff>304800</xdr:colOff>
      <xdr:row>16</xdr:row>
      <xdr:rowOff>133350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3" name="Chart 2">
              <a:extLst>
                <a:ext uri="{FF2B5EF4-FFF2-40B4-BE49-F238E27FC236}">
                  <a16:creationId xmlns:a16="http://schemas.microsoft.com/office/drawing/2014/main" id="{5C277B38-F5A0-4D6D-AD73-BCC5B7197611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5880100" y="184150"/>
              <a:ext cx="4572000" cy="28956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DE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730250</xdr:colOff>
          <xdr:row>10</xdr:row>
          <xdr:rowOff>158750</xdr:rowOff>
        </xdr:from>
        <xdr:to>
          <xdr:col>2</xdr:col>
          <xdr:colOff>44450</xdr:colOff>
          <xdr:row>13</xdr:row>
          <xdr:rowOff>107950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3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DE" sz="1100" b="0" i="0" u="none" strike="noStrike" baseline="0">
                  <a:solidFill>
                    <a:srgbClr val="000000"/>
                  </a:solidFill>
                  <a:latin typeface="Aptos Narrow"/>
                </a:rPr>
                <a:t>Calculate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omments" Target="../comments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comments" Target="../comments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DFEC86-A9F9-47C7-AFDD-BADDC6C48969}">
  <sheetPr codeName="Sheet1"/>
  <dimension ref="A1:B12"/>
  <sheetViews>
    <sheetView workbookViewId="0">
      <selection activeCell="B14" sqref="B14"/>
    </sheetView>
  </sheetViews>
  <sheetFormatPr defaultRowHeight="14.5" x14ac:dyDescent="0.35"/>
  <cols>
    <col min="1" max="1" width="24.54296875" bestFit="1" customWidth="1"/>
    <col min="2" max="2" width="14" customWidth="1"/>
  </cols>
  <sheetData>
    <row r="1" spans="1:2" x14ac:dyDescent="0.35">
      <c r="A1" s="7" t="s">
        <v>0</v>
      </c>
      <c r="B1" s="7"/>
    </row>
    <row r="2" spans="1:2" x14ac:dyDescent="0.35">
      <c r="A2" s="1" t="s">
        <v>9</v>
      </c>
      <c r="B2" s="2">
        <v>100000</v>
      </c>
    </row>
    <row r="3" spans="1:2" x14ac:dyDescent="0.35">
      <c r="A3" s="1" t="s">
        <v>1</v>
      </c>
      <c r="B3" s="2">
        <v>20</v>
      </c>
    </row>
    <row r="4" spans="1:2" x14ac:dyDescent="0.35">
      <c r="A4" s="1" t="s">
        <v>2</v>
      </c>
      <c r="B4" s="2">
        <v>1</v>
      </c>
    </row>
    <row r="5" spans="1:2" x14ac:dyDescent="0.35">
      <c r="A5" s="1"/>
      <c r="B5" s="2"/>
    </row>
    <row r="6" spans="1:2" x14ac:dyDescent="0.35">
      <c r="A6" s="1" t="s">
        <v>3</v>
      </c>
      <c r="B6" s="2">
        <v>0.02</v>
      </c>
    </row>
    <row r="7" spans="1:2" x14ac:dyDescent="0.35">
      <c r="A7" s="1" t="s">
        <v>5</v>
      </c>
      <c r="B7" s="2">
        <v>0.2</v>
      </c>
    </row>
    <row r="8" spans="1:2" x14ac:dyDescent="0.35">
      <c r="A8" s="5"/>
      <c r="B8" s="6"/>
    </row>
    <row r="9" spans="1:2" x14ac:dyDescent="0.35">
      <c r="A9" s="1" t="s">
        <v>6</v>
      </c>
      <c r="B9" s="4">
        <v>14961.333825647083</v>
      </c>
    </row>
    <row r="10" spans="1:2" x14ac:dyDescent="0.35">
      <c r="A10" s="1" t="s">
        <v>7</v>
      </c>
      <c r="B10" s="4">
        <v>19138.737715337586</v>
      </c>
    </row>
    <row r="11" spans="1:2" x14ac:dyDescent="0.35">
      <c r="A11" s="1" t="s">
        <v>8</v>
      </c>
      <c r="B11" s="4">
        <v>1056.5553804671279</v>
      </c>
    </row>
    <row r="12" spans="1:2" x14ac:dyDescent="0.35">
      <c r="A12" s="3"/>
    </row>
  </sheetData>
  <mergeCells count="1">
    <mergeCell ref="A1:B1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3" name="Button 3">
              <controlPr defaultSize="0" print="0" autoFill="0" autoPict="0" macro="[0]!single_premium">
                <anchor moveWithCells="1" sizeWithCells="1">
                  <from>
                    <xdr:col>1</xdr:col>
                    <xdr:colOff>0</xdr:colOff>
                    <xdr:row>12</xdr:row>
                    <xdr:rowOff>19050</xdr:rowOff>
                  </from>
                  <to>
                    <xdr:col>2</xdr:col>
                    <xdr:colOff>0</xdr:colOff>
                    <xdr:row>13</xdr:row>
                    <xdr:rowOff>6350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8A42C7-6B20-4BB6-B3E0-445989486E2C}">
  <sheetPr codeName="Sheet3"/>
  <dimension ref="A1:B15"/>
  <sheetViews>
    <sheetView workbookViewId="0">
      <selection activeCell="E24" sqref="E24"/>
    </sheetView>
  </sheetViews>
  <sheetFormatPr defaultRowHeight="14.5" x14ac:dyDescent="0.35"/>
  <cols>
    <col min="1" max="1" width="24.54296875" bestFit="1" customWidth="1"/>
    <col min="2" max="2" width="11.81640625" bestFit="1" customWidth="1"/>
  </cols>
  <sheetData>
    <row r="1" spans="1:2" x14ac:dyDescent="0.35">
      <c r="A1" s="7" t="s">
        <v>0</v>
      </c>
      <c r="B1" s="7"/>
    </row>
    <row r="2" spans="1:2" x14ac:dyDescent="0.35">
      <c r="A2" s="1" t="s">
        <v>9</v>
      </c>
      <c r="B2" s="2">
        <v>200</v>
      </c>
    </row>
    <row r="3" spans="1:2" x14ac:dyDescent="0.35">
      <c r="A3" s="1" t="s">
        <v>1</v>
      </c>
      <c r="B3" s="2">
        <v>20</v>
      </c>
    </row>
    <row r="4" spans="1:2" x14ac:dyDescent="0.35">
      <c r="A4" s="1" t="s">
        <v>2</v>
      </c>
      <c r="B4" s="2">
        <v>1</v>
      </c>
    </row>
    <row r="5" spans="1:2" x14ac:dyDescent="0.35">
      <c r="A5" s="1"/>
      <c r="B5" s="2"/>
    </row>
    <row r="6" spans="1:2" x14ac:dyDescent="0.35">
      <c r="A6" s="1" t="s">
        <v>10</v>
      </c>
      <c r="B6" s="2">
        <v>2.5000000000000001E-2</v>
      </c>
    </row>
    <row r="7" spans="1:2" x14ac:dyDescent="0.35">
      <c r="A7" s="1" t="s">
        <v>11</v>
      </c>
      <c r="B7" s="2">
        <v>0.05</v>
      </c>
    </row>
    <row r="8" spans="1:2" x14ac:dyDescent="0.35">
      <c r="A8" s="1" t="s">
        <v>12</v>
      </c>
      <c r="B8" s="2">
        <v>1E-3</v>
      </c>
    </row>
    <row r="9" spans="1:2" x14ac:dyDescent="0.35">
      <c r="A9" s="1"/>
      <c r="B9" s="2"/>
    </row>
    <row r="10" spans="1:2" x14ac:dyDescent="0.35">
      <c r="A10" s="1" t="s">
        <v>3</v>
      </c>
      <c r="B10" s="2">
        <v>0.02</v>
      </c>
    </row>
    <row r="11" spans="1:2" x14ac:dyDescent="0.35">
      <c r="A11" s="1" t="s">
        <v>5</v>
      </c>
      <c r="B11" s="2">
        <v>0.2</v>
      </c>
    </row>
    <row r="12" spans="1:2" x14ac:dyDescent="0.35">
      <c r="A12" s="5"/>
      <c r="B12" s="6"/>
    </row>
    <row r="13" spans="1:2" x14ac:dyDescent="0.35">
      <c r="A13" s="1" t="s">
        <v>13</v>
      </c>
      <c r="B13" s="4">
        <v>5746.0583375536289</v>
      </c>
    </row>
    <row r="14" spans="1:2" x14ac:dyDescent="0.35">
      <c r="A14" s="3"/>
      <c r="B14" s="3"/>
    </row>
    <row r="15" spans="1:2" x14ac:dyDescent="0.35">
      <c r="A15" s="3"/>
      <c r="B15" s="3"/>
    </row>
  </sheetData>
  <mergeCells count="1">
    <mergeCell ref="A1:B1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3" name="Button 2">
              <controlPr defaultSize="0" print="0" autoFill="0" autoPict="0" macro="[0]!regular_premium">
                <anchor moveWithCells="1" sizeWithCells="1">
                  <from>
                    <xdr:col>0</xdr:col>
                    <xdr:colOff>1695450</xdr:colOff>
                    <xdr:row>14</xdr:row>
                    <xdr:rowOff>0</xdr:rowOff>
                  </from>
                  <to>
                    <xdr:col>1</xdr:col>
                    <xdr:colOff>819150</xdr:colOff>
                    <xdr:row>15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B7CD18-F778-4297-9778-2CDCA4EA3CA7}">
  <sheetPr codeName="Sheet4"/>
  <dimension ref="A1:F1001"/>
  <sheetViews>
    <sheetView tabSelected="1" workbookViewId="0">
      <selection activeCell="B10" sqref="B10"/>
    </sheetView>
  </sheetViews>
  <sheetFormatPr defaultRowHeight="14.5" x14ac:dyDescent="0.35"/>
  <cols>
    <col min="1" max="1" width="18.6328125" customWidth="1"/>
    <col min="2" max="2" width="21.90625" bestFit="1" customWidth="1"/>
  </cols>
  <sheetData>
    <row r="1" spans="1:6" x14ac:dyDescent="0.35">
      <c r="A1" s="7" t="s">
        <v>0</v>
      </c>
      <c r="B1" s="7"/>
      <c r="E1" s="8" t="s">
        <v>20</v>
      </c>
      <c r="F1" s="8" t="s">
        <v>21</v>
      </c>
    </row>
    <row r="2" spans="1:6" x14ac:dyDescent="0.35">
      <c r="A2" s="1" t="s">
        <v>9</v>
      </c>
      <c r="B2" s="2">
        <v>100000</v>
      </c>
      <c r="E2">
        <v>1</v>
      </c>
      <c r="F2">
        <v>-4306.3816023906302</v>
      </c>
    </row>
    <row r="3" spans="1:6" x14ac:dyDescent="0.35">
      <c r="A3" s="1" t="s">
        <v>1</v>
      </c>
      <c r="B3" s="2">
        <v>20</v>
      </c>
      <c r="E3">
        <v>2</v>
      </c>
      <c r="F3">
        <v>-866.95408115961618</v>
      </c>
    </row>
    <row r="4" spans="1:6" x14ac:dyDescent="0.35">
      <c r="A4" s="1" t="s">
        <v>2</v>
      </c>
      <c r="B4" s="2">
        <v>1</v>
      </c>
      <c r="E4">
        <v>3</v>
      </c>
      <c r="F4">
        <v>7995.8119414473076</v>
      </c>
    </row>
    <row r="5" spans="1:6" x14ac:dyDescent="0.35">
      <c r="A5" s="1"/>
      <c r="B5" s="2"/>
      <c r="E5">
        <v>4</v>
      </c>
      <c r="F5">
        <v>-4715.0411752209748</v>
      </c>
    </row>
    <row r="6" spans="1:6" x14ac:dyDescent="0.35">
      <c r="A6" s="1" t="s">
        <v>27</v>
      </c>
      <c r="B6" s="2">
        <v>0.02</v>
      </c>
      <c r="E6">
        <v>5</v>
      </c>
      <c r="F6">
        <v>-1231.1794710309248</v>
      </c>
    </row>
    <row r="7" spans="1:6" x14ac:dyDescent="0.35">
      <c r="A7" s="1" t="s">
        <v>4</v>
      </c>
      <c r="B7" s="2">
        <v>0.06</v>
      </c>
      <c r="E7">
        <v>6</v>
      </c>
      <c r="F7">
        <v>-4941.8439777605827</v>
      </c>
    </row>
    <row r="8" spans="1:6" x14ac:dyDescent="0.35">
      <c r="A8" s="1" t="s">
        <v>5</v>
      </c>
      <c r="B8" s="2">
        <v>0.2</v>
      </c>
      <c r="E8">
        <v>7</v>
      </c>
      <c r="F8">
        <v>2443.2647749090293</v>
      </c>
    </row>
    <row r="9" spans="1:6" x14ac:dyDescent="0.35">
      <c r="A9" s="1"/>
      <c r="B9" s="2"/>
      <c r="E9">
        <v>8</v>
      </c>
      <c r="F9">
        <v>-853.70186704496155</v>
      </c>
    </row>
    <row r="10" spans="1:6" x14ac:dyDescent="0.35">
      <c r="A10" s="1" t="s">
        <v>22</v>
      </c>
      <c r="B10" s="2" t="s">
        <v>25</v>
      </c>
      <c r="E10">
        <v>9</v>
      </c>
      <c r="F10">
        <v>-11229.622680339862</v>
      </c>
    </row>
    <row r="11" spans="1:6" x14ac:dyDescent="0.35">
      <c r="A11" s="5"/>
      <c r="B11" s="6"/>
      <c r="E11">
        <v>10</v>
      </c>
      <c r="F11">
        <v>-6408.8704745219684</v>
      </c>
    </row>
    <row r="12" spans="1:6" x14ac:dyDescent="0.35">
      <c r="A12" s="1" t="s">
        <v>14</v>
      </c>
      <c r="B12" s="4">
        <f>PERCENTILE(F2:F1001,0.001)</f>
        <v>-26223.24607415784</v>
      </c>
      <c r="E12">
        <v>11</v>
      </c>
      <c r="F12">
        <v>4450.0232150779539</v>
      </c>
    </row>
    <row r="13" spans="1:6" x14ac:dyDescent="0.35">
      <c r="A13" s="1" t="s">
        <v>16</v>
      </c>
      <c r="B13" s="4">
        <f>PERCENTILE(F3:F1002,0.01)</f>
        <v>-17639.331166262316</v>
      </c>
      <c r="E13">
        <v>12</v>
      </c>
      <c r="F13">
        <v>102.69051678261378</v>
      </c>
    </row>
    <row r="14" spans="1:6" x14ac:dyDescent="0.35">
      <c r="A14" s="1" t="s">
        <v>15</v>
      </c>
      <c r="B14" s="4">
        <f>PERCENTILE(F4:F1003,0.05)</f>
        <v>-11741.615375555615</v>
      </c>
      <c r="E14">
        <v>13</v>
      </c>
      <c r="F14">
        <v>-9305.9267455601166</v>
      </c>
    </row>
    <row r="15" spans="1:6" x14ac:dyDescent="0.35">
      <c r="A15" s="1" t="s">
        <v>17</v>
      </c>
      <c r="B15" s="4" cm="1">
        <f t="array" ref="B15">cte(F2:F1001,0.05)</f>
        <v>-15597.817969554377</v>
      </c>
      <c r="E15">
        <v>14</v>
      </c>
      <c r="F15">
        <v>-41.033644965090069</v>
      </c>
    </row>
    <row r="16" spans="1:6" x14ac:dyDescent="0.35">
      <c r="A16" s="1" t="s">
        <v>18</v>
      </c>
      <c r="B16" s="4" cm="1">
        <f t="array" ref="B16">cte(F3:F1002,0.1)</f>
        <v>-12847.865334428274</v>
      </c>
      <c r="E16">
        <v>15</v>
      </c>
      <c r="F16">
        <v>-1783.1536890963271</v>
      </c>
    </row>
    <row r="17" spans="1:6" x14ac:dyDescent="0.35">
      <c r="A17" s="1" t="s">
        <v>19</v>
      </c>
      <c r="B17" s="4">
        <f>AVERAGE(F2:F1001)</f>
        <v>-708.84240762513593</v>
      </c>
      <c r="E17">
        <v>16</v>
      </c>
      <c r="F17">
        <v>-6086.8464996909242</v>
      </c>
    </row>
    <row r="18" spans="1:6" x14ac:dyDescent="0.35">
      <c r="A18" s="1" t="s">
        <v>26</v>
      </c>
      <c r="B18" s="4">
        <f>STDEV(F2:F1001)</f>
        <v>6669.2695162634673</v>
      </c>
      <c r="E18">
        <v>17</v>
      </c>
      <c r="F18">
        <v>7588.6316768449324</v>
      </c>
    </row>
    <row r="19" spans="1:6" x14ac:dyDescent="0.35">
      <c r="E19">
        <v>18</v>
      </c>
      <c r="F19">
        <v>7419.5958055271949</v>
      </c>
    </row>
    <row r="20" spans="1:6" x14ac:dyDescent="0.35">
      <c r="E20">
        <v>19</v>
      </c>
      <c r="F20">
        <v>1436.1579164130615</v>
      </c>
    </row>
    <row r="21" spans="1:6" x14ac:dyDescent="0.35">
      <c r="E21">
        <v>20</v>
      </c>
      <c r="F21">
        <v>3888.7848305177645</v>
      </c>
    </row>
    <row r="22" spans="1:6" x14ac:dyDescent="0.35">
      <c r="E22">
        <v>21</v>
      </c>
      <c r="F22">
        <v>-17590.67738479127</v>
      </c>
    </row>
    <row r="23" spans="1:6" x14ac:dyDescent="0.35">
      <c r="E23">
        <v>22</v>
      </c>
      <c r="F23">
        <v>-1258.2883901199989</v>
      </c>
    </row>
    <row r="24" spans="1:6" x14ac:dyDescent="0.35">
      <c r="E24">
        <v>23</v>
      </c>
      <c r="F24">
        <v>6705.5253932101441</v>
      </c>
    </row>
    <row r="25" spans="1:6" x14ac:dyDescent="0.35">
      <c r="E25">
        <v>24</v>
      </c>
      <c r="F25">
        <v>1066.6563792753959</v>
      </c>
    </row>
    <row r="26" spans="1:6" x14ac:dyDescent="0.35">
      <c r="E26">
        <v>25</v>
      </c>
      <c r="F26">
        <v>2732.269267102341</v>
      </c>
    </row>
    <row r="27" spans="1:6" x14ac:dyDescent="0.35">
      <c r="E27">
        <v>26</v>
      </c>
      <c r="F27">
        <v>7215.3974323989896</v>
      </c>
    </row>
    <row r="28" spans="1:6" x14ac:dyDescent="0.35">
      <c r="E28">
        <v>27</v>
      </c>
      <c r="F28">
        <v>4326.1250689717508</v>
      </c>
    </row>
    <row r="29" spans="1:6" x14ac:dyDescent="0.35">
      <c r="E29">
        <v>28</v>
      </c>
      <c r="F29">
        <v>3580.3784127133072</v>
      </c>
    </row>
    <row r="30" spans="1:6" x14ac:dyDescent="0.35">
      <c r="E30">
        <v>29</v>
      </c>
      <c r="F30">
        <v>-7602.8331078487099</v>
      </c>
    </row>
    <row r="31" spans="1:6" x14ac:dyDescent="0.35">
      <c r="E31">
        <v>30</v>
      </c>
      <c r="F31">
        <v>1374.2785036842267</v>
      </c>
    </row>
    <row r="32" spans="1:6" x14ac:dyDescent="0.35">
      <c r="E32">
        <v>31</v>
      </c>
      <c r="F32">
        <v>1292.4191862863672</v>
      </c>
    </row>
    <row r="33" spans="5:6" x14ac:dyDescent="0.35">
      <c r="E33">
        <v>32</v>
      </c>
      <c r="F33">
        <v>971.37435344693949</v>
      </c>
    </row>
    <row r="34" spans="5:6" x14ac:dyDescent="0.35">
      <c r="E34">
        <v>33</v>
      </c>
      <c r="F34">
        <v>1912.7142353601521</v>
      </c>
    </row>
    <row r="35" spans="5:6" x14ac:dyDescent="0.35">
      <c r="E35">
        <v>34</v>
      </c>
      <c r="F35">
        <v>-3598.999085068669</v>
      </c>
    </row>
    <row r="36" spans="5:6" x14ac:dyDescent="0.35">
      <c r="E36">
        <v>35</v>
      </c>
      <c r="F36">
        <v>907.44084067237725</v>
      </c>
    </row>
    <row r="37" spans="5:6" x14ac:dyDescent="0.35">
      <c r="E37">
        <v>36</v>
      </c>
      <c r="F37">
        <v>-511.89124127073211</v>
      </c>
    </row>
    <row r="38" spans="5:6" x14ac:dyDescent="0.35">
      <c r="E38">
        <v>37</v>
      </c>
      <c r="F38">
        <v>66.865159300238872</v>
      </c>
    </row>
    <row r="39" spans="5:6" x14ac:dyDescent="0.35">
      <c r="E39">
        <v>38</v>
      </c>
      <c r="F39">
        <v>478.01392055216974</v>
      </c>
    </row>
    <row r="40" spans="5:6" x14ac:dyDescent="0.35">
      <c r="E40">
        <v>39</v>
      </c>
      <c r="F40">
        <v>13324.443685779683</v>
      </c>
    </row>
    <row r="41" spans="5:6" x14ac:dyDescent="0.35">
      <c r="E41">
        <v>40</v>
      </c>
      <c r="F41">
        <v>1708.8029079525136</v>
      </c>
    </row>
    <row r="42" spans="5:6" x14ac:dyDescent="0.35">
      <c r="E42">
        <v>41</v>
      </c>
      <c r="F42">
        <v>-4165.3143699417151</v>
      </c>
    </row>
    <row r="43" spans="5:6" x14ac:dyDescent="0.35">
      <c r="E43">
        <v>42</v>
      </c>
      <c r="F43">
        <v>3395.3103951254452</v>
      </c>
    </row>
    <row r="44" spans="5:6" x14ac:dyDescent="0.35">
      <c r="E44">
        <v>43</v>
      </c>
      <c r="F44">
        <v>-6715.3891476349745</v>
      </c>
    </row>
    <row r="45" spans="5:6" x14ac:dyDescent="0.35">
      <c r="E45">
        <v>44</v>
      </c>
      <c r="F45">
        <v>-206.87252443490505</v>
      </c>
    </row>
    <row r="46" spans="5:6" x14ac:dyDescent="0.35">
      <c r="E46">
        <v>45</v>
      </c>
      <c r="F46">
        <v>-5727.5701713829358</v>
      </c>
    </row>
    <row r="47" spans="5:6" x14ac:dyDescent="0.35">
      <c r="E47">
        <v>46</v>
      </c>
      <c r="F47">
        <v>15053.670705256824</v>
      </c>
    </row>
    <row r="48" spans="5:6" x14ac:dyDescent="0.35">
      <c r="E48">
        <v>47</v>
      </c>
      <c r="F48">
        <v>2809.1228892314821</v>
      </c>
    </row>
    <row r="49" spans="5:6" x14ac:dyDescent="0.35">
      <c r="E49">
        <v>48</v>
      </c>
      <c r="F49">
        <v>-14770.999376190721</v>
      </c>
    </row>
    <row r="50" spans="5:6" x14ac:dyDescent="0.35">
      <c r="E50">
        <v>49</v>
      </c>
      <c r="F50">
        <v>609.21477700333423</v>
      </c>
    </row>
    <row r="51" spans="5:6" x14ac:dyDescent="0.35">
      <c r="E51">
        <v>50</v>
      </c>
      <c r="F51">
        <v>2315.487158829259</v>
      </c>
    </row>
    <row r="52" spans="5:6" x14ac:dyDescent="0.35">
      <c r="E52">
        <v>51</v>
      </c>
      <c r="F52">
        <v>-1985.5249950497675</v>
      </c>
    </row>
    <row r="53" spans="5:6" x14ac:dyDescent="0.35">
      <c r="E53">
        <v>52</v>
      </c>
      <c r="F53">
        <v>-1295.4980903135654</v>
      </c>
    </row>
    <row r="54" spans="5:6" x14ac:dyDescent="0.35">
      <c r="E54">
        <v>53</v>
      </c>
      <c r="F54">
        <v>1237.0571603866667</v>
      </c>
    </row>
    <row r="55" spans="5:6" x14ac:dyDescent="0.35">
      <c r="E55">
        <v>54</v>
      </c>
      <c r="F55">
        <v>190.22914557337936</v>
      </c>
    </row>
    <row r="56" spans="5:6" x14ac:dyDescent="0.35">
      <c r="E56">
        <v>55</v>
      </c>
      <c r="F56">
        <v>-2312.5869236341218</v>
      </c>
    </row>
    <row r="57" spans="5:6" x14ac:dyDescent="0.35">
      <c r="E57">
        <v>56</v>
      </c>
      <c r="F57">
        <v>6696.0227582603839</v>
      </c>
    </row>
    <row r="58" spans="5:6" x14ac:dyDescent="0.35">
      <c r="E58">
        <v>57</v>
      </c>
      <c r="F58">
        <v>-16789.631766979939</v>
      </c>
    </row>
    <row r="59" spans="5:6" x14ac:dyDescent="0.35">
      <c r="E59">
        <v>58</v>
      </c>
      <c r="F59">
        <v>-1387.2269885896239</v>
      </c>
    </row>
    <row r="60" spans="5:6" x14ac:dyDescent="0.35">
      <c r="E60">
        <v>59</v>
      </c>
      <c r="F60">
        <v>-1467.5094307722109</v>
      </c>
    </row>
    <row r="61" spans="5:6" x14ac:dyDescent="0.35">
      <c r="E61">
        <v>60</v>
      </c>
      <c r="F61">
        <v>-1938.8841225733133</v>
      </c>
    </row>
    <row r="62" spans="5:6" x14ac:dyDescent="0.35">
      <c r="E62">
        <v>61</v>
      </c>
      <c r="F62">
        <v>-744.33557799921414</v>
      </c>
    </row>
    <row r="63" spans="5:6" x14ac:dyDescent="0.35">
      <c r="E63">
        <v>62</v>
      </c>
      <c r="F63">
        <v>4187.9780293771473</v>
      </c>
    </row>
    <row r="64" spans="5:6" x14ac:dyDescent="0.35">
      <c r="E64">
        <v>63</v>
      </c>
      <c r="F64">
        <v>-11344.078362120221</v>
      </c>
    </row>
    <row r="65" spans="5:6" x14ac:dyDescent="0.35">
      <c r="E65">
        <v>64</v>
      </c>
      <c r="F65">
        <v>1792.6034237941053</v>
      </c>
    </row>
    <row r="66" spans="5:6" x14ac:dyDescent="0.35">
      <c r="E66">
        <v>65</v>
      </c>
      <c r="F66">
        <v>784.9768690677156</v>
      </c>
    </row>
    <row r="67" spans="5:6" x14ac:dyDescent="0.35">
      <c r="E67">
        <v>66</v>
      </c>
      <c r="F67">
        <v>-4780.060232817521</v>
      </c>
    </row>
    <row r="68" spans="5:6" x14ac:dyDescent="0.35">
      <c r="E68">
        <v>67</v>
      </c>
      <c r="F68">
        <v>-1399.277839882081</v>
      </c>
    </row>
    <row r="69" spans="5:6" x14ac:dyDescent="0.35">
      <c r="E69">
        <v>68</v>
      </c>
      <c r="F69">
        <v>197.00107459043647</v>
      </c>
    </row>
    <row r="70" spans="5:6" x14ac:dyDescent="0.35">
      <c r="E70">
        <v>69</v>
      </c>
      <c r="F70">
        <v>-3217.2911141829045</v>
      </c>
    </row>
    <row r="71" spans="5:6" x14ac:dyDescent="0.35">
      <c r="E71">
        <v>70</v>
      </c>
      <c r="F71">
        <v>750.15914151273648</v>
      </c>
    </row>
    <row r="72" spans="5:6" x14ac:dyDescent="0.35">
      <c r="E72">
        <v>71</v>
      </c>
      <c r="F72">
        <v>-1880.8688265382905</v>
      </c>
    </row>
    <row r="73" spans="5:6" x14ac:dyDescent="0.35">
      <c r="E73">
        <v>72</v>
      </c>
      <c r="F73">
        <v>2353.5629355964625</v>
      </c>
    </row>
    <row r="74" spans="5:6" x14ac:dyDescent="0.35">
      <c r="E74">
        <v>73</v>
      </c>
      <c r="F74">
        <v>-8685.6925137301878</v>
      </c>
    </row>
    <row r="75" spans="5:6" x14ac:dyDescent="0.35">
      <c r="E75">
        <v>74</v>
      </c>
      <c r="F75">
        <v>-4193.972594566857</v>
      </c>
    </row>
    <row r="76" spans="5:6" x14ac:dyDescent="0.35">
      <c r="E76">
        <v>75</v>
      </c>
      <c r="F76">
        <v>5342.5844957336121</v>
      </c>
    </row>
    <row r="77" spans="5:6" x14ac:dyDescent="0.35">
      <c r="E77">
        <v>76</v>
      </c>
      <c r="F77">
        <v>-8752.4774605998518</v>
      </c>
    </row>
    <row r="78" spans="5:6" x14ac:dyDescent="0.35">
      <c r="E78">
        <v>77</v>
      </c>
      <c r="F78">
        <v>7572.0842997050859</v>
      </c>
    </row>
    <row r="79" spans="5:6" x14ac:dyDescent="0.35">
      <c r="E79">
        <v>78</v>
      </c>
      <c r="F79">
        <v>5949.1940058076871</v>
      </c>
    </row>
    <row r="80" spans="5:6" x14ac:dyDescent="0.35">
      <c r="E80">
        <v>79</v>
      </c>
      <c r="F80">
        <v>56.133531673800462</v>
      </c>
    </row>
    <row r="81" spans="5:6" x14ac:dyDescent="0.35">
      <c r="E81">
        <v>80</v>
      </c>
      <c r="F81">
        <v>-1038.7107004760942</v>
      </c>
    </row>
    <row r="82" spans="5:6" x14ac:dyDescent="0.35">
      <c r="E82">
        <v>81</v>
      </c>
      <c r="F82">
        <v>-13058.553216224416</v>
      </c>
    </row>
    <row r="83" spans="5:6" x14ac:dyDescent="0.35">
      <c r="E83">
        <v>82</v>
      </c>
      <c r="F83">
        <v>-8296.5106772796316</v>
      </c>
    </row>
    <row r="84" spans="5:6" x14ac:dyDescent="0.35">
      <c r="E84">
        <v>83</v>
      </c>
      <c r="F84">
        <v>2488.2285608969069</v>
      </c>
    </row>
    <row r="85" spans="5:6" x14ac:dyDescent="0.35">
      <c r="E85">
        <v>84</v>
      </c>
      <c r="F85">
        <v>10234.831238660183</v>
      </c>
    </row>
    <row r="86" spans="5:6" x14ac:dyDescent="0.35">
      <c r="E86">
        <v>85</v>
      </c>
      <c r="F86">
        <v>1495.1388732545674</v>
      </c>
    </row>
    <row r="87" spans="5:6" x14ac:dyDescent="0.35">
      <c r="E87">
        <v>86</v>
      </c>
      <c r="F87">
        <v>-12514.084854523264</v>
      </c>
    </row>
    <row r="88" spans="5:6" x14ac:dyDescent="0.35">
      <c r="E88">
        <v>87</v>
      </c>
      <c r="F88">
        <v>4168.1659398342017</v>
      </c>
    </row>
    <row r="89" spans="5:6" x14ac:dyDescent="0.35">
      <c r="E89">
        <v>88</v>
      </c>
      <c r="F89">
        <v>-2575.3680274822696</v>
      </c>
    </row>
    <row r="90" spans="5:6" x14ac:dyDescent="0.35">
      <c r="E90">
        <v>89</v>
      </c>
      <c r="F90">
        <v>-3466.2917776611998</v>
      </c>
    </row>
    <row r="91" spans="5:6" x14ac:dyDescent="0.35">
      <c r="E91">
        <v>90</v>
      </c>
      <c r="F91">
        <v>-9602.0340394144132</v>
      </c>
    </row>
    <row r="92" spans="5:6" x14ac:dyDescent="0.35">
      <c r="E92">
        <v>91</v>
      </c>
      <c r="F92">
        <v>525.14868715681791</v>
      </c>
    </row>
    <row r="93" spans="5:6" x14ac:dyDescent="0.35">
      <c r="E93">
        <v>92</v>
      </c>
      <c r="F93">
        <v>13172.329588790999</v>
      </c>
    </row>
    <row r="94" spans="5:6" x14ac:dyDescent="0.35">
      <c r="E94">
        <v>93</v>
      </c>
      <c r="F94">
        <v>-6920.7347102946833</v>
      </c>
    </row>
    <row r="95" spans="5:6" x14ac:dyDescent="0.35">
      <c r="E95">
        <v>94</v>
      </c>
      <c r="F95">
        <v>-8814.0979347675348</v>
      </c>
    </row>
    <row r="96" spans="5:6" x14ac:dyDescent="0.35">
      <c r="E96">
        <v>95</v>
      </c>
      <c r="F96">
        <v>316.80800243783074</v>
      </c>
    </row>
    <row r="97" spans="5:6" x14ac:dyDescent="0.35">
      <c r="E97">
        <v>96</v>
      </c>
      <c r="F97">
        <v>18104.428929284601</v>
      </c>
    </row>
    <row r="98" spans="5:6" x14ac:dyDescent="0.35">
      <c r="E98">
        <v>97</v>
      </c>
      <c r="F98">
        <v>481.87647734782513</v>
      </c>
    </row>
    <row r="99" spans="5:6" x14ac:dyDescent="0.35">
      <c r="E99">
        <v>98</v>
      </c>
      <c r="F99">
        <v>-7573.0626575567721</v>
      </c>
    </row>
    <row r="100" spans="5:6" x14ac:dyDescent="0.35">
      <c r="E100">
        <v>99</v>
      </c>
      <c r="F100">
        <v>4300.0473769001719</v>
      </c>
    </row>
    <row r="101" spans="5:6" x14ac:dyDescent="0.35">
      <c r="E101">
        <v>100</v>
      </c>
      <c r="F101">
        <v>-9778.2817646666863</v>
      </c>
    </row>
    <row r="102" spans="5:6" x14ac:dyDescent="0.35">
      <c r="E102">
        <v>101</v>
      </c>
      <c r="F102">
        <v>16940.445036907608</v>
      </c>
    </row>
    <row r="103" spans="5:6" x14ac:dyDescent="0.35">
      <c r="E103">
        <v>102</v>
      </c>
      <c r="F103">
        <v>1683.3810982326031</v>
      </c>
    </row>
    <row r="104" spans="5:6" x14ac:dyDescent="0.35">
      <c r="E104">
        <v>103</v>
      </c>
      <c r="F104">
        <v>-1000.2305935958155</v>
      </c>
    </row>
    <row r="105" spans="5:6" x14ac:dyDescent="0.35">
      <c r="E105">
        <v>104</v>
      </c>
      <c r="F105">
        <v>156.30870083557238</v>
      </c>
    </row>
    <row r="106" spans="5:6" x14ac:dyDescent="0.35">
      <c r="E106">
        <v>105</v>
      </c>
      <c r="F106">
        <v>2645.1335440001221</v>
      </c>
    </row>
    <row r="107" spans="5:6" x14ac:dyDescent="0.35">
      <c r="E107">
        <v>106</v>
      </c>
      <c r="F107">
        <v>2768.1659695226085</v>
      </c>
    </row>
    <row r="108" spans="5:6" x14ac:dyDescent="0.35">
      <c r="E108">
        <v>107</v>
      </c>
      <c r="F108">
        <v>3076.4896306498758</v>
      </c>
    </row>
    <row r="109" spans="5:6" x14ac:dyDescent="0.35">
      <c r="E109">
        <v>108</v>
      </c>
      <c r="F109">
        <v>5590.681885408776</v>
      </c>
    </row>
    <row r="110" spans="5:6" x14ac:dyDescent="0.35">
      <c r="E110">
        <v>109</v>
      </c>
      <c r="F110">
        <v>1588.1559786881248</v>
      </c>
    </row>
    <row r="111" spans="5:6" x14ac:dyDescent="0.35">
      <c r="E111">
        <v>110</v>
      </c>
      <c r="F111">
        <v>-8277.8471463646529</v>
      </c>
    </row>
    <row r="112" spans="5:6" x14ac:dyDescent="0.35">
      <c r="E112">
        <v>111</v>
      </c>
      <c r="F112">
        <v>58.272504413289425</v>
      </c>
    </row>
    <row r="113" spans="5:6" x14ac:dyDescent="0.35">
      <c r="E113">
        <v>112</v>
      </c>
      <c r="F113">
        <v>-7511.4051048692372</v>
      </c>
    </row>
    <row r="114" spans="5:6" x14ac:dyDescent="0.35">
      <c r="E114">
        <v>113</v>
      </c>
      <c r="F114">
        <v>-2420.6583711139424</v>
      </c>
    </row>
    <row r="115" spans="5:6" x14ac:dyDescent="0.35">
      <c r="E115">
        <v>114</v>
      </c>
      <c r="F115">
        <v>-2792.9668405011325</v>
      </c>
    </row>
    <row r="116" spans="5:6" x14ac:dyDescent="0.35">
      <c r="E116">
        <v>115</v>
      </c>
      <c r="F116">
        <v>25.329744307455258</v>
      </c>
    </row>
    <row r="117" spans="5:6" x14ac:dyDescent="0.35">
      <c r="E117">
        <v>116</v>
      </c>
      <c r="F117">
        <v>-3673.6692133877732</v>
      </c>
    </row>
    <row r="118" spans="5:6" x14ac:dyDescent="0.35">
      <c r="E118">
        <v>117</v>
      </c>
      <c r="F118">
        <v>-7247.7352908186676</v>
      </c>
    </row>
    <row r="119" spans="5:6" x14ac:dyDescent="0.35">
      <c r="E119">
        <v>118</v>
      </c>
      <c r="F119">
        <v>2856.1621866323258</v>
      </c>
    </row>
    <row r="120" spans="5:6" x14ac:dyDescent="0.35">
      <c r="E120">
        <v>119</v>
      </c>
      <c r="F120">
        <v>-23471.417916996099</v>
      </c>
    </row>
    <row r="121" spans="5:6" x14ac:dyDescent="0.35">
      <c r="E121">
        <v>120</v>
      </c>
      <c r="F121">
        <v>-3738.0304394136801</v>
      </c>
    </row>
    <row r="122" spans="5:6" x14ac:dyDescent="0.35">
      <c r="E122">
        <v>121</v>
      </c>
      <c r="F122">
        <v>-609.68339078322549</v>
      </c>
    </row>
    <row r="123" spans="5:6" x14ac:dyDescent="0.35">
      <c r="E123">
        <v>122</v>
      </c>
      <c r="F123">
        <v>-2511.3741579596899</v>
      </c>
    </row>
    <row r="124" spans="5:6" x14ac:dyDescent="0.35">
      <c r="E124">
        <v>123</v>
      </c>
      <c r="F124">
        <v>-9319.2071215474425</v>
      </c>
    </row>
    <row r="125" spans="5:6" x14ac:dyDescent="0.35">
      <c r="E125">
        <v>124</v>
      </c>
      <c r="F125">
        <v>246.73103897993329</v>
      </c>
    </row>
    <row r="126" spans="5:6" x14ac:dyDescent="0.35">
      <c r="E126">
        <v>125</v>
      </c>
      <c r="F126">
        <v>5235.1327313313013</v>
      </c>
    </row>
    <row r="127" spans="5:6" x14ac:dyDescent="0.35">
      <c r="E127">
        <v>126</v>
      </c>
      <c r="F127">
        <v>5247.6555721498662</v>
      </c>
    </row>
    <row r="128" spans="5:6" x14ac:dyDescent="0.35">
      <c r="E128">
        <v>127</v>
      </c>
      <c r="F128">
        <v>3517.0309633162842</v>
      </c>
    </row>
    <row r="129" spans="5:6" x14ac:dyDescent="0.35">
      <c r="E129">
        <v>128</v>
      </c>
      <c r="F129">
        <v>-5707.3515511473124</v>
      </c>
    </row>
    <row r="130" spans="5:6" x14ac:dyDescent="0.35">
      <c r="E130">
        <v>129</v>
      </c>
      <c r="F130">
        <v>4028.9382807106681</v>
      </c>
    </row>
    <row r="131" spans="5:6" x14ac:dyDescent="0.35">
      <c r="E131">
        <v>130</v>
      </c>
      <c r="F131">
        <v>-3821.812044777454</v>
      </c>
    </row>
    <row r="132" spans="5:6" x14ac:dyDescent="0.35">
      <c r="E132">
        <v>131</v>
      </c>
      <c r="F132">
        <v>1684.6385778232611</v>
      </c>
    </row>
    <row r="133" spans="5:6" x14ac:dyDescent="0.35">
      <c r="E133">
        <v>132</v>
      </c>
      <c r="F133">
        <v>-2106.3239242027394</v>
      </c>
    </row>
    <row r="134" spans="5:6" x14ac:dyDescent="0.35">
      <c r="E134">
        <v>133</v>
      </c>
      <c r="F134">
        <v>-203.14060518308543</v>
      </c>
    </row>
    <row r="135" spans="5:6" x14ac:dyDescent="0.35">
      <c r="E135">
        <v>134</v>
      </c>
      <c r="F135">
        <v>2154.5836840309921</v>
      </c>
    </row>
    <row r="136" spans="5:6" x14ac:dyDescent="0.35">
      <c r="E136">
        <v>135</v>
      </c>
      <c r="F136">
        <v>8388.8515286949405</v>
      </c>
    </row>
    <row r="137" spans="5:6" x14ac:dyDescent="0.35">
      <c r="E137">
        <v>136</v>
      </c>
      <c r="F137">
        <v>9142.7679931960229</v>
      </c>
    </row>
    <row r="138" spans="5:6" x14ac:dyDescent="0.35">
      <c r="E138">
        <v>137</v>
      </c>
      <c r="F138">
        <v>-10492.371194267251</v>
      </c>
    </row>
    <row r="139" spans="5:6" x14ac:dyDescent="0.35">
      <c r="E139">
        <v>138</v>
      </c>
      <c r="F139">
        <v>2430.5682260805224</v>
      </c>
    </row>
    <row r="140" spans="5:6" x14ac:dyDescent="0.35">
      <c r="E140">
        <v>139</v>
      </c>
      <c r="F140">
        <v>2285.6752392591588</v>
      </c>
    </row>
    <row r="141" spans="5:6" x14ac:dyDescent="0.35">
      <c r="E141">
        <v>140</v>
      </c>
      <c r="F141">
        <v>-3288.6379788936647</v>
      </c>
    </row>
    <row r="142" spans="5:6" x14ac:dyDescent="0.35">
      <c r="E142">
        <v>141</v>
      </c>
      <c r="F142">
        <v>-5193.8544822349104</v>
      </c>
    </row>
    <row r="143" spans="5:6" x14ac:dyDescent="0.35">
      <c r="E143">
        <v>142</v>
      </c>
      <c r="F143">
        <v>-10728.25336197087</v>
      </c>
    </row>
    <row r="144" spans="5:6" x14ac:dyDescent="0.35">
      <c r="E144">
        <v>143</v>
      </c>
      <c r="F144">
        <v>5650.0137282629075</v>
      </c>
    </row>
    <row r="145" spans="5:6" x14ac:dyDescent="0.35">
      <c r="E145">
        <v>144</v>
      </c>
      <c r="F145">
        <v>1782.6276041539604</v>
      </c>
    </row>
    <row r="146" spans="5:6" x14ac:dyDescent="0.35">
      <c r="E146">
        <v>145</v>
      </c>
      <c r="F146">
        <v>-1545.1011639376754</v>
      </c>
    </row>
    <row r="147" spans="5:6" x14ac:dyDescent="0.35">
      <c r="E147">
        <v>146</v>
      </c>
      <c r="F147">
        <v>-2305.9174506702548</v>
      </c>
    </row>
    <row r="148" spans="5:6" x14ac:dyDescent="0.35">
      <c r="E148">
        <v>147</v>
      </c>
      <c r="F148">
        <v>-4861.4115222271712</v>
      </c>
    </row>
    <row r="149" spans="5:6" x14ac:dyDescent="0.35">
      <c r="E149">
        <v>148</v>
      </c>
      <c r="F149">
        <v>-8348.8538634571232</v>
      </c>
    </row>
    <row r="150" spans="5:6" x14ac:dyDescent="0.35">
      <c r="E150">
        <v>149</v>
      </c>
      <c r="F150">
        <v>-2068.8818422964309</v>
      </c>
    </row>
    <row r="151" spans="5:6" x14ac:dyDescent="0.35">
      <c r="E151">
        <v>150</v>
      </c>
      <c r="F151">
        <v>-264.2324987191862</v>
      </c>
    </row>
    <row r="152" spans="5:6" x14ac:dyDescent="0.35">
      <c r="E152">
        <v>151</v>
      </c>
      <c r="F152">
        <v>2412.069547385312</v>
      </c>
    </row>
    <row r="153" spans="5:6" x14ac:dyDescent="0.35">
      <c r="E153">
        <v>152</v>
      </c>
      <c r="F153">
        <v>1630.7237662296161</v>
      </c>
    </row>
    <row r="154" spans="5:6" x14ac:dyDescent="0.35">
      <c r="E154">
        <v>153</v>
      </c>
      <c r="F154">
        <v>1203.8675515470247</v>
      </c>
    </row>
    <row r="155" spans="5:6" x14ac:dyDescent="0.35">
      <c r="E155">
        <v>154</v>
      </c>
      <c r="F155">
        <v>52.286283187559143</v>
      </c>
    </row>
    <row r="156" spans="5:6" x14ac:dyDescent="0.35">
      <c r="E156">
        <v>155</v>
      </c>
      <c r="F156">
        <v>-8308.0297444219577</v>
      </c>
    </row>
    <row r="157" spans="5:6" x14ac:dyDescent="0.35">
      <c r="E157">
        <v>156</v>
      </c>
      <c r="F157">
        <v>6012.8819961096124</v>
      </c>
    </row>
    <row r="158" spans="5:6" x14ac:dyDescent="0.35">
      <c r="E158">
        <v>157</v>
      </c>
      <c r="F158">
        <v>-2030.6235354423411</v>
      </c>
    </row>
    <row r="159" spans="5:6" x14ac:dyDescent="0.35">
      <c r="E159">
        <v>158</v>
      </c>
      <c r="F159">
        <v>1841.6201418430066</v>
      </c>
    </row>
    <row r="160" spans="5:6" x14ac:dyDescent="0.35">
      <c r="E160">
        <v>159</v>
      </c>
      <c r="F160">
        <v>-6447.1933434177954</v>
      </c>
    </row>
    <row r="161" spans="5:6" x14ac:dyDescent="0.35">
      <c r="E161">
        <v>160</v>
      </c>
      <c r="F161">
        <v>6765.4850532570708</v>
      </c>
    </row>
    <row r="162" spans="5:6" x14ac:dyDescent="0.35">
      <c r="E162">
        <v>161</v>
      </c>
      <c r="F162">
        <v>-2389.2642142366863</v>
      </c>
    </row>
    <row r="163" spans="5:6" x14ac:dyDescent="0.35">
      <c r="E163">
        <v>162</v>
      </c>
      <c r="F163">
        <v>8009.6050587416712</v>
      </c>
    </row>
    <row r="164" spans="5:6" x14ac:dyDescent="0.35">
      <c r="E164">
        <v>163</v>
      </c>
      <c r="F164">
        <v>-383.64386727030018</v>
      </c>
    </row>
    <row r="165" spans="5:6" x14ac:dyDescent="0.35">
      <c r="E165">
        <v>164</v>
      </c>
      <c r="F165">
        <v>-2397.7814798542531</v>
      </c>
    </row>
    <row r="166" spans="5:6" x14ac:dyDescent="0.35">
      <c r="E166">
        <v>165</v>
      </c>
      <c r="F166">
        <v>-6529.6376352155648</v>
      </c>
    </row>
    <row r="167" spans="5:6" x14ac:dyDescent="0.35">
      <c r="E167">
        <v>166</v>
      </c>
      <c r="F167">
        <v>-3653.2672732649562</v>
      </c>
    </row>
    <row r="168" spans="5:6" x14ac:dyDescent="0.35">
      <c r="E168">
        <v>167</v>
      </c>
      <c r="F168">
        <v>-4618.5900831275239</v>
      </c>
    </row>
    <row r="169" spans="5:6" x14ac:dyDescent="0.35">
      <c r="E169">
        <v>168</v>
      </c>
      <c r="F169">
        <v>174.34514935354446</v>
      </c>
    </row>
    <row r="170" spans="5:6" x14ac:dyDescent="0.35">
      <c r="E170">
        <v>169</v>
      </c>
      <c r="F170">
        <v>424.85574897118931</v>
      </c>
    </row>
    <row r="171" spans="5:6" x14ac:dyDescent="0.35">
      <c r="E171">
        <v>170</v>
      </c>
      <c r="F171">
        <v>1905.965512154733</v>
      </c>
    </row>
    <row r="172" spans="5:6" x14ac:dyDescent="0.35">
      <c r="E172">
        <v>171</v>
      </c>
      <c r="F172">
        <v>-4742.1537109804049</v>
      </c>
    </row>
    <row r="173" spans="5:6" x14ac:dyDescent="0.35">
      <c r="E173">
        <v>172</v>
      </c>
      <c r="F173">
        <v>-23483.225682253356</v>
      </c>
    </row>
    <row r="174" spans="5:6" x14ac:dyDescent="0.35">
      <c r="E174">
        <v>173</v>
      </c>
      <c r="F174">
        <v>1597.4412449173039</v>
      </c>
    </row>
    <row r="175" spans="5:6" x14ac:dyDescent="0.35">
      <c r="E175">
        <v>174</v>
      </c>
      <c r="F175">
        <v>4789.8249783802348</v>
      </c>
    </row>
    <row r="176" spans="5:6" x14ac:dyDescent="0.35">
      <c r="E176">
        <v>175</v>
      </c>
      <c r="F176">
        <v>-789.41043243998502</v>
      </c>
    </row>
    <row r="177" spans="5:6" x14ac:dyDescent="0.35">
      <c r="E177">
        <v>176</v>
      </c>
      <c r="F177">
        <v>-470.37876746521852</v>
      </c>
    </row>
    <row r="178" spans="5:6" x14ac:dyDescent="0.35">
      <c r="E178">
        <v>177</v>
      </c>
      <c r="F178">
        <v>-7851.5567123832443</v>
      </c>
    </row>
    <row r="179" spans="5:6" x14ac:dyDescent="0.35">
      <c r="E179">
        <v>178</v>
      </c>
      <c r="F179">
        <v>2841.059491395205</v>
      </c>
    </row>
    <row r="180" spans="5:6" x14ac:dyDescent="0.35">
      <c r="E180">
        <v>179</v>
      </c>
      <c r="F180">
        <v>11474.984667704528</v>
      </c>
    </row>
    <row r="181" spans="5:6" x14ac:dyDescent="0.35">
      <c r="E181">
        <v>180</v>
      </c>
      <c r="F181">
        <v>1595.8285763341439</v>
      </c>
    </row>
    <row r="182" spans="5:6" x14ac:dyDescent="0.35">
      <c r="E182">
        <v>181</v>
      </c>
      <c r="F182">
        <v>17824.861788072245</v>
      </c>
    </row>
    <row r="183" spans="5:6" x14ac:dyDescent="0.35">
      <c r="E183">
        <v>182</v>
      </c>
      <c r="F183">
        <v>-2038.1405061790003</v>
      </c>
    </row>
    <row r="184" spans="5:6" x14ac:dyDescent="0.35">
      <c r="E184">
        <v>183</v>
      </c>
      <c r="F184">
        <v>-13122.507331423958</v>
      </c>
    </row>
    <row r="185" spans="5:6" x14ac:dyDescent="0.35">
      <c r="E185">
        <v>184</v>
      </c>
      <c r="F185">
        <v>-10309.321814463878</v>
      </c>
    </row>
    <row r="186" spans="5:6" x14ac:dyDescent="0.35">
      <c r="E186">
        <v>185</v>
      </c>
      <c r="F186">
        <v>-4743.0611856458345</v>
      </c>
    </row>
    <row r="187" spans="5:6" x14ac:dyDescent="0.35">
      <c r="E187">
        <v>186</v>
      </c>
      <c r="F187">
        <v>487.15791364727676</v>
      </c>
    </row>
    <row r="188" spans="5:6" x14ac:dyDescent="0.35">
      <c r="E188">
        <v>187</v>
      </c>
      <c r="F188">
        <v>-1768.4327437441482</v>
      </c>
    </row>
    <row r="189" spans="5:6" x14ac:dyDescent="0.35">
      <c r="E189">
        <v>188</v>
      </c>
      <c r="F189">
        <v>15859.580576166991</v>
      </c>
    </row>
    <row r="190" spans="5:6" x14ac:dyDescent="0.35">
      <c r="E190">
        <v>189</v>
      </c>
      <c r="F190">
        <v>-5705.2164930923318</v>
      </c>
    </row>
    <row r="191" spans="5:6" x14ac:dyDescent="0.35">
      <c r="E191">
        <v>190</v>
      </c>
      <c r="F191">
        <v>2944.0164277507556</v>
      </c>
    </row>
    <row r="192" spans="5:6" x14ac:dyDescent="0.35">
      <c r="E192">
        <v>191</v>
      </c>
      <c r="F192">
        <v>1608.6883681320796</v>
      </c>
    </row>
    <row r="193" spans="5:6" x14ac:dyDescent="0.35">
      <c r="E193">
        <v>192</v>
      </c>
      <c r="F193">
        <v>2680.4175948159641</v>
      </c>
    </row>
    <row r="194" spans="5:6" x14ac:dyDescent="0.35">
      <c r="E194">
        <v>193</v>
      </c>
      <c r="F194">
        <v>-91.737754620611383</v>
      </c>
    </row>
    <row r="195" spans="5:6" x14ac:dyDescent="0.35">
      <c r="E195">
        <v>194</v>
      </c>
      <c r="F195">
        <v>-1656.6197120128509</v>
      </c>
    </row>
    <row r="196" spans="5:6" x14ac:dyDescent="0.35">
      <c r="E196">
        <v>195</v>
      </c>
      <c r="F196">
        <v>4567.1067241503188</v>
      </c>
    </row>
    <row r="197" spans="5:6" x14ac:dyDescent="0.35">
      <c r="E197">
        <v>196</v>
      </c>
      <c r="F197">
        <v>1652.3713580202441</v>
      </c>
    </row>
    <row r="198" spans="5:6" x14ac:dyDescent="0.35">
      <c r="E198">
        <v>197</v>
      </c>
      <c r="F198">
        <v>-6593.0886863976411</v>
      </c>
    </row>
    <row r="199" spans="5:6" x14ac:dyDescent="0.35">
      <c r="E199">
        <v>198</v>
      </c>
      <c r="F199">
        <v>-5251.1508696132851</v>
      </c>
    </row>
    <row r="200" spans="5:6" x14ac:dyDescent="0.35">
      <c r="E200">
        <v>199</v>
      </c>
      <c r="F200">
        <v>-11925.253281429559</v>
      </c>
    </row>
    <row r="201" spans="5:6" x14ac:dyDescent="0.35">
      <c r="E201">
        <v>200</v>
      </c>
      <c r="F201">
        <v>-6867.6607418179083</v>
      </c>
    </row>
    <row r="202" spans="5:6" x14ac:dyDescent="0.35">
      <c r="E202">
        <v>201</v>
      </c>
      <c r="F202">
        <v>231.08592488401908</v>
      </c>
    </row>
    <row r="203" spans="5:6" x14ac:dyDescent="0.35">
      <c r="E203">
        <v>202</v>
      </c>
      <c r="F203">
        <v>-7809.2529124451285</v>
      </c>
    </row>
    <row r="204" spans="5:6" x14ac:dyDescent="0.35">
      <c r="E204">
        <v>203</v>
      </c>
      <c r="F204">
        <v>-1135.4601627560924</v>
      </c>
    </row>
    <row r="205" spans="5:6" x14ac:dyDescent="0.35">
      <c r="E205">
        <v>204</v>
      </c>
      <c r="F205">
        <v>2078.2121696600516</v>
      </c>
    </row>
    <row r="206" spans="5:6" x14ac:dyDescent="0.35">
      <c r="E206">
        <v>205</v>
      </c>
      <c r="F206">
        <v>-1329.3804989471521</v>
      </c>
    </row>
    <row r="207" spans="5:6" x14ac:dyDescent="0.35">
      <c r="E207">
        <v>206</v>
      </c>
      <c r="F207">
        <v>-4018.4733438754793</v>
      </c>
    </row>
    <row r="208" spans="5:6" x14ac:dyDescent="0.35">
      <c r="E208">
        <v>207</v>
      </c>
      <c r="F208">
        <v>294.53537415513949</v>
      </c>
    </row>
    <row r="209" spans="5:6" x14ac:dyDescent="0.35">
      <c r="E209">
        <v>208</v>
      </c>
      <c r="F209">
        <v>4289.6681339183961</v>
      </c>
    </row>
    <row r="210" spans="5:6" x14ac:dyDescent="0.35">
      <c r="E210">
        <v>209</v>
      </c>
      <c r="F210">
        <v>4033.5933145740119</v>
      </c>
    </row>
    <row r="211" spans="5:6" x14ac:dyDescent="0.35">
      <c r="E211">
        <v>210</v>
      </c>
      <c r="F211">
        <v>-2940.382866192871</v>
      </c>
    </row>
    <row r="212" spans="5:6" x14ac:dyDescent="0.35">
      <c r="E212">
        <v>211</v>
      </c>
      <c r="F212">
        <v>-1303.4676574063087</v>
      </c>
    </row>
    <row r="213" spans="5:6" x14ac:dyDescent="0.35">
      <c r="E213">
        <v>212</v>
      </c>
      <c r="F213">
        <v>-1673.8970971429524</v>
      </c>
    </row>
    <row r="214" spans="5:6" x14ac:dyDescent="0.35">
      <c r="E214">
        <v>213</v>
      </c>
      <c r="F214">
        <v>4214.6474391185047</v>
      </c>
    </row>
    <row r="215" spans="5:6" x14ac:dyDescent="0.35">
      <c r="E215">
        <v>214</v>
      </c>
      <c r="F215">
        <v>-3352.2899472824788</v>
      </c>
    </row>
    <row r="216" spans="5:6" x14ac:dyDescent="0.35">
      <c r="E216">
        <v>215</v>
      </c>
      <c r="F216">
        <v>7336.9722832241478</v>
      </c>
    </row>
    <row r="217" spans="5:6" x14ac:dyDescent="0.35">
      <c r="E217">
        <v>216</v>
      </c>
      <c r="F217">
        <v>-11176.319927582532</v>
      </c>
    </row>
    <row r="218" spans="5:6" x14ac:dyDescent="0.35">
      <c r="E218">
        <v>217</v>
      </c>
      <c r="F218">
        <v>8321.5465980859299</v>
      </c>
    </row>
    <row r="219" spans="5:6" x14ac:dyDescent="0.35">
      <c r="E219">
        <v>218</v>
      </c>
      <c r="F219">
        <v>9581.9786132380468</v>
      </c>
    </row>
    <row r="220" spans="5:6" x14ac:dyDescent="0.35">
      <c r="E220">
        <v>219</v>
      </c>
      <c r="F220">
        <v>2178.4602341147047</v>
      </c>
    </row>
    <row r="221" spans="5:6" x14ac:dyDescent="0.35">
      <c r="E221">
        <v>220</v>
      </c>
      <c r="F221">
        <v>-6006.300756524477</v>
      </c>
    </row>
    <row r="222" spans="5:6" x14ac:dyDescent="0.35">
      <c r="E222">
        <v>221</v>
      </c>
      <c r="F222">
        <v>-328.17939782494733</v>
      </c>
    </row>
    <row r="223" spans="5:6" x14ac:dyDescent="0.35">
      <c r="E223">
        <v>222</v>
      </c>
      <c r="F223">
        <v>-13222.476811165929</v>
      </c>
    </row>
    <row r="224" spans="5:6" x14ac:dyDescent="0.35">
      <c r="E224">
        <v>223</v>
      </c>
      <c r="F224">
        <v>-11217.638052447481</v>
      </c>
    </row>
    <row r="225" spans="5:6" x14ac:dyDescent="0.35">
      <c r="E225">
        <v>224</v>
      </c>
      <c r="F225">
        <v>-4577.6137979069463</v>
      </c>
    </row>
    <row r="226" spans="5:6" x14ac:dyDescent="0.35">
      <c r="E226">
        <v>225</v>
      </c>
      <c r="F226">
        <v>849.37232790500275</v>
      </c>
    </row>
    <row r="227" spans="5:6" x14ac:dyDescent="0.35">
      <c r="E227">
        <v>226</v>
      </c>
      <c r="F227">
        <v>1875.3329652338832</v>
      </c>
    </row>
    <row r="228" spans="5:6" x14ac:dyDescent="0.35">
      <c r="E228">
        <v>227</v>
      </c>
      <c r="F228">
        <v>13676.92715325093</v>
      </c>
    </row>
    <row r="229" spans="5:6" x14ac:dyDescent="0.35">
      <c r="E229">
        <v>228</v>
      </c>
      <c r="F229">
        <v>-9553.8195650811685</v>
      </c>
    </row>
    <row r="230" spans="5:6" x14ac:dyDescent="0.35">
      <c r="E230">
        <v>229</v>
      </c>
      <c r="F230">
        <v>5933.2327608232081</v>
      </c>
    </row>
    <row r="231" spans="5:6" x14ac:dyDescent="0.35">
      <c r="E231">
        <v>230</v>
      </c>
      <c r="F231">
        <v>-3328.0297598634438</v>
      </c>
    </row>
    <row r="232" spans="5:6" x14ac:dyDescent="0.35">
      <c r="E232">
        <v>231</v>
      </c>
      <c r="F232">
        <v>-5249.8018070922953</v>
      </c>
    </row>
    <row r="233" spans="5:6" x14ac:dyDescent="0.35">
      <c r="E233">
        <v>232</v>
      </c>
      <c r="F233">
        <v>-6983.1919469683662</v>
      </c>
    </row>
    <row r="234" spans="5:6" x14ac:dyDescent="0.35">
      <c r="E234">
        <v>233</v>
      </c>
      <c r="F234">
        <v>3889.7941797271269</v>
      </c>
    </row>
    <row r="235" spans="5:6" x14ac:dyDescent="0.35">
      <c r="E235">
        <v>234</v>
      </c>
      <c r="F235">
        <v>-8489.0640959242755</v>
      </c>
    </row>
    <row r="236" spans="5:6" x14ac:dyDescent="0.35">
      <c r="E236">
        <v>235</v>
      </c>
      <c r="F236">
        <v>9341.2870325873846</v>
      </c>
    </row>
    <row r="237" spans="5:6" x14ac:dyDescent="0.35">
      <c r="E237">
        <v>236</v>
      </c>
      <c r="F237">
        <v>-2255.9154809140177</v>
      </c>
    </row>
    <row r="238" spans="5:6" x14ac:dyDescent="0.35">
      <c r="E238">
        <v>237</v>
      </c>
      <c r="F238">
        <v>1424.4242154336825</v>
      </c>
    </row>
    <row r="239" spans="5:6" x14ac:dyDescent="0.35">
      <c r="E239">
        <v>238</v>
      </c>
      <c r="F239">
        <v>-7355.7030694286959</v>
      </c>
    </row>
    <row r="240" spans="5:6" x14ac:dyDescent="0.35">
      <c r="E240">
        <v>239</v>
      </c>
      <c r="F240">
        <v>-1293.2123293354805</v>
      </c>
    </row>
    <row r="241" spans="5:6" x14ac:dyDescent="0.35">
      <c r="E241">
        <v>240</v>
      </c>
      <c r="F241">
        <v>9114.3567727846748</v>
      </c>
    </row>
    <row r="242" spans="5:6" x14ac:dyDescent="0.35">
      <c r="E242">
        <v>241</v>
      </c>
      <c r="F242">
        <v>2135.2369838440763</v>
      </c>
    </row>
    <row r="243" spans="5:6" x14ac:dyDescent="0.35">
      <c r="E243">
        <v>242</v>
      </c>
      <c r="F243">
        <v>-12172.355630584905</v>
      </c>
    </row>
    <row r="244" spans="5:6" x14ac:dyDescent="0.35">
      <c r="E244">
        <v>243</v>
      </c>
      <c r="F244">
        <v>-3439.0073603277287</v>
      </c>
    </row>
    <row r="245" spans="5:6" x14ac:dyDescent="0.35">
      <c r="E245">
        <v>244</v>
      </c>
      <c r="F245">
        <v>-304.33709605481658</v>
      </c>
    </row>
    <row r="246" spans="5:6" x14ac:dyDescent="0.35">
      <c r="E246">
        <v>245</v>
      </c>
      <c r="F246">
        <v>-1041.3615759179665</v>
      </c>
    </row>
    <row r="247" spans="5:6" x14ac:dyDescent="0.35">
      <c r="E247">
        <v>246</v>
      </c>
      <c r="F247">
        <v>3017.4832315364692</v>
      </c>
    </row>
    <row r="248" spans="5:6" x14ac:dyDescent="0.35">
      <c r="E248">
        <v>247</v>
      </c>
      <c r="F248">
        <v>2500.5171584299533</v>
      </c>
    </row>
    <row r="249" spans="5:6" x14ac:dyDescent="0.35">
      <c r="E249">
        <v>248</v>
      </c>
      <c r="F249">
        <v>-2289.0722958911397</v>
      </c>
    </row>
    <row r="250" spans="5:6" x14ac:dyDescent="0.35">
      <c r="E250">
        <v>249</v>
      </c>
      <c r="F250">
        <v>-6181.6526521491542</v>
      </c>
    </row>
    <row r="251" spans="5:6" x14ac:dyDescent="0.35">
      <c r="E251">
        <v>250</v>
      </c>
      <c r="F251">
        <v>-5474.5963351654555</v>
      </c>
    </row>
    <row r="252" spans="5:6" x14ac:dyDescent="0.35">
      <c r="E252">
        <v>251</v>
      </c>
      <c r="F252">
        <v>3231.2167311889207</v>
      </c>
    </row>
    <row r="253" spans="5:6" x14ac:dyDescent="0.35">
      <c r="E253">
        <v>252</v>
      </c>
      <c r="F253">
        <v>2119.1203765497521</v>
      </c>
    </row>
    <row r="254" spans="5:6" x14ac:dyDescent="0.35">
      <c r="E254">
        <v>253</v>
      </c>
      <c r="F254">
        <v>-12614.395222481766</v>
      </c>
    </row>
    <row r="255" spans="5:6" x14ac:dyDescent="0.35">
      <c r="E255">
        <v>254</v>
      </c>
      <c r="F255">
        <v>-2444.6403607501243</v>
      </c>
    </row>
    <row r="256" spans="5:6" x14ac:dyDescent="0.35">
      <c r="E256">
        <v>255</v>
      </c>
      <c r="F256">
        <v>5588.3824832066184</v>
      </c>
    </row>
    <row r="257" spans="5:6" x14ac:dyDescent="0.35">
      <c r="E257">
        <v>256</v>
      </c>
      <c r="F257">
        <v>1069.7011636381685</v>
      </c>
    </row>
    <row r="258" spans="5:6" x14ac:dyDescent="0.35">
      <c r="E258">
        <v>257</v>
      </c>
      <c r="F258">
        <v>-4466.8071430978889</v>
      </c>
    </row>
    <row r="259" spans="5:6" x14ac:dyDescent="0.35">
      <c r="E259">
        <v>258</v>
      </c>
      <c r="F259">
        <v>3575.8580194189235</v>
      </c>
    </row>
    <row r="260" spans="5:6" x14ac:dyDescent="0.35">
      <c r="E260">
        <v>259</v>
      </c>
      <c r="F260">
        <v>-2398.2442090522077</v>
      </c>
    </row>
    <row r="261" spans="5:6" x14ac:dyDescent="0.35">
      <c r="E261">
        <v>260</v>
      </c>
      <c r="F261">
        <v>6503.5948587847961</v>
      </c>
    </row>
    <row r="262" spans="5:6" x14ac:dyDescent="0.35">
      <c r="E262">
        <v>261</v>
      </c>
      <c r="F262">
        <v>2757.1161688780485</v>
      </c>
    </row>
    <row r="263" spans="5:6" x14ac:dyDescent="0.35">
      <c r="E263">
        <v>262</v>
      </c>
      <c r="F263">
        <v>3846.4398955447327</v>
      </c>
    </row>
    <row r="264" spans="5:6" x14ac:dyDescent="0.35">
      <c r="E264">
        <v>263</v>
      </c>
      <c r="F264">
        <v>2768.7154522849164</v>
      </c>
    </row>
    <row r="265" spans="5:6" x14ac:dyDescent="0.35">
      <c r="E265">
        <v>264</v>
      </c>
      <c r="F265">
        <v>-466.49508085205798</v>
      </c>
    </row>
    <row r="266" spans="5:6" x14ac:dyDescent="0.35">
      <c r="E266">
        <v>265</v>
      </c>
      <c r="F266">
        <v>-5516.6161992485586</v>
      </c>
    </row>
    <row r="267" spans="5:6" x14ac:dyDescent="0.35">
      <c r="E267">
        <v>266</v>
      </c>
      <c r="F267">
        <v>-1770.3708372003966</v>
      </c>
    </row>
    <row r="268" spans="5:6" x14ac:dyDescent="0.35">
      <c r="E268">
        <v>267</v>
      </c>
      <c r="F268">
        <v>-7643.1822253672253</v>
      </c>
    </row>
    <row r="269" spans="5:6" x14ac:dyDescent="0.35">
      <c r="E269">
        <v>268</v>
      </c>
      <c r="F269">
        <v>1432.1489966412064</v>
      </c>
    </row>
    <row r="270" spans="5:6" x14ac:dyDescent="0.35">
      <c r="E270">
        <v>269</v>
      </c>
      <c r="F270">
        <v>-5493.5841228740092</v>
      </c>
    </row>
    <row r="271" spans="5:6" x14ac:dyDescent="0.35">
      <c r="E271">
        <v>270</v>
      </c>
      <c r="F271">
        <v>3503.318880236277</v>
      </c>
    </row>
    <row r="272" spans="5:6" x14ac:dyDescent="0.35">
      <c r="E272">
        <v>271</v>
      </c>
      <c r="F272">
        <v>12000.783701108085</v>
      </c>
    </row>
    <row r="273" spans="5:6" x14ac:dyDescent="0.35">
      <c r="E273">
        <v>272</v>
      </c>
      <c r="F273">
        <v>4332.5837904171349</v>
      </c>
    </row>
    <row r="274" spans="5:6" x14ac:dyDescent="0.35">
      <c r="E274">
        <v>273</v>
      </c>
      <c r="F274">
        <v>-3853.2967552666141</v>
      </c>
    </row>
    <row r="275" spans="5:6" x14ac:dyDescent="0.35">
      <c r="E275">
        <v>274</v>
      </c>
      <c r="F275">
        <v>-5386.7994167280267</v>
      </c>
    </row>
    <row r="276" spans="5:6" x14ac:dyDescent="0.35">
      <c r="E276">
        <v>275</v>
      </c>
      <c r="F276">
        <v>-6625.7737288403086</v>
      </c>
    </row>
    <row r="277" spans="5:6" x14ac:dyDescent="0.35">
      <c r="E277">
        <v>276</v>
      </c>
      <c r="F277">
        <v>-3147.2572587681557</v>
      </c>
    </row>
    <row r="278" spans="5:6" x14ac:dyDescent="0.35">
      <c r="E278">
        <v>277</v>
      </c>
      <c r="F278">
        <v>-2941.5227532731537</v>
      </c>
    </row>
    <row r="279" spans="5:6" x14ac:dyDescent="0.35">
      <c r="E279">
        <v>278</v>
      </c>
      <c r="F279">
        <v>-6471.3577546951219</v>
      </c>
    </row>
    <row r="280" spans="5:6" x14ac:dyDescent="0.35">
      <c r="E280">
        <v>279</v>
      </c>
      <c r="F280">
        <v>2902.0592852017876</v>
      </c>
    </row>
    <row r="281" spans="5:6" x14ac:dyDescent="0.35">
      <c r="E281">
        <v>280</v>
      </c>
      <c r="F281">
        <v>3943.9514483027133</v>
      </c>
    </row>
    <row r="282" spans="5:6" x14ac:dyDescent="0.35">
      <c r="E282">
        <v>281</v>
      </c>
      <c r="F282">
        <v>4435.3919240303439</v>
      </c>
    </row>
    <row r="283" spans="5:6" x14ac:dyDescent="0.35">
      <c r="E283">
        <v>282</v>
      </c>
      <c r="F283">
        <v>-3634.8259180739187</v>
      </c>
    </row>
    <row r="284" spans="5:6" x14ac:dyDescent="0.35">
      <c r="E284">
        <v>283</v>
      </c>
      <c r="F284">
        <v>-3653.9246106883802</v>
      </c>
    </row>
    <row r="285" spans="5:6" x14ac:dyDescent="0.35">
      <c r="E285">
        <v>284</v>
      </c>
      <c r="F285">
        <v>-8173.7496876919249</v>
      </c>
    </row>
    <row r="286" spans="5:6" x14ac:dyDescent="0.35">
      <c r="E286">
        <v>285</v>
      </c>
      <c r="F286">
        <v>1752.6504160885841</v>
      </c>
    </row>
    <row r="287" spans="5:6" x14ac:dyDescent="0.35">
      <c r="E287">
        <v>286</v>
      </c>
      <c r="F287">
        <v>3970.6955101234635</v>
      </c>
    </row>
    <row r="288" spans="5:6" x14ac:dyDescent="0.35">
      <c r="E288">
        <v>287</v>
      </c>
      <c r="F288">
        <v>-731.05114427280932</v>
      </c>
    </row>
    <row r="289" spans="5:6" x14ac:dyDescent="0.35">
      <c r="E289">
        <v>288</v>
      </c>
      <c r="F289">
        <v>-7010.9216726310806</v>
      </c>
    </row>
    <row r="290" spans="5:6" x14ac:dyDescent="0.35">
      <c r="E290">
        <v>289</v>
      </c>
      <c r="F290">
        <v>-147.75480585362453</v>
      </c>
    </row>
    <row r="291" spans="5:6" x14ac:dyDescent="0.35">
      <c r="E291">
        <v>290</v>
      </c>
      <c r="F291">
        <v>6842.667923396235</v>
      </c>
    </row>
    <row r="292" spans="5:6" x14ac:dyDescent="0.35">
      <c r="E292">
        <v>291</v>
      </c>
      <c r="F292">
        <v>6878.6280991520634</v>
      </c>
    </row>
    <row r="293" spans="5:6" x14ac:dyDescent="0.35">
      <c r="E293">
        <v>292</v>
      </c>
      <c r="F293">
        <v>1907.3197961920232</v>
      </c>
    </row>
    <row r="294" spans="5:6" x14ac:dyDescent="0.35">
      <c r="E294">
        <v>293</v>
      </c>
      <c r="F294">
        <v>-8532.6601339228582</v>
      </c>
    </row>
    <row r="295" spans="5:6" x14ac:dyDescent="0.35">
      <c r="E295">
        <v>294</v>
      </c>
      <c r="F295">
        <v>1682.19708062877</v>
      </c>
    </row>
    <row r="296" spans="5:6" x14ac:dyDescent="0.35">
      <c r="E296">
        <v>295</v>
      </c>
      <c r="F296">
        <v>-2508.1511550320183</v>
      </c>
    </row>
    <row r="297" spans="5:6" x14ac:dyDescent="0.35">
      <c r="E297">
        <v>296</v>
      </c>
      <c r="F297">
        <v>4586.8239981977231</v>
      </c>
    </row>
    <row r="298" spans="5:6" x14ac:dyDescent="0.35">
      <c r="E298">
        <v>297</v>
      </c>
      <c r="F298">
        <v>2574.5108170798849</v>
      </c>
    </row>
    <row r="299" spans="5:6" x14ac:dyDescent="0.35">
      <c r="E299">
        <v>298</v>
      </c>
      <c r="F299">
        <v>3086.3535349515878</v>
      </c>
    </row>
    <row r="300" spans="5:6" x14ac:dyDescent="0.35">
      <c r="E300">
        <v>299</v>
      </c>
      <c r="F300">
        <v>-9030.8365092841941</v>
      </c>
    </row>
    <row r="301" spans="5:6" x14ac:dyDescent="0.35">
      <c r="E301">
        <v>300</v>
      </c>
      <c r="F301">
        <v>4197.8871274787907</v>
      </c>
    </row>
    <row r="302" spans="5:6" x14ac:dyDescent="0.35">
      <c r="E302">
        <v>301</v>
      </c>
      <c r="F302">
        <v>-4352.2041382659309</v>
      </c>
    </row>
    <row r="303" spans="5:6" x14ac:dyDescent="0.35">
      <c r="E303">
        <v>302</v>
      </c>
      <c r="F303">
        <v>5194.2793608374022</v>
      </c>
    </row>
    <row r="304" spans="5:6" x14ac:dyDescent="0.35">
      <c r="E304">
        <v>303</v>
      </c>
      <c r="F304">
        <v>-5661.6191443024418</v>
      </c>
    </row>
    <row r="305" spans="5:6" x14ac:dyDescent="0.35">
      <c r="E305">
        <v>304</v>
      </c>
      <c r="F305">
        <v>2938.646580486442</v>
      </c>
    </row>
    <row r="306" spans="5:6" x14ac:dyDescent="0.35">
      <c r="E306">
        <v>305</v>
      </c>
      <c r="F306">
        <v>2114.8600818712912</v>
      </c>
    </row>
    <row r="307" spans="5:6" x14ac:dyDescent="0.35">
      <c r="E307">
        <v>306</v>
      </c>
      <c r="F307">
        <v>-15700.087713114093</v>
      </c>
    </row>
    <row r="308" spans="5:6" x14ac:dyDescent="0.35">
      <c r="E308">
        <v>307</v>
      </c>
      <c r="F308">
        <v>2597.6058550556827</v>
      </c>
    </row>
    <row r="309" spans="5:6" x14ac:dyDescent="0.35">
      <c r="E309">
        <v>308</v>
      </c>
      <c r="F309">
        <v>3602.1605162793044</v>
      </c>
    </row>
    <row r="310" spans="5:6" x14ac:dyDescent="0.35">
      <c r="E310">
        <v>309</v>
      </c>
      <c r="F310">
        <v>-11150.808813531849</v>
      </c>
    </row>
    <row r="311" spans="5:6" x14ac:dyDescent="0.35">
      <c r="E311">
        <v>310</v>
      </c>
      <c r="F311">
        <v>-7480.3855841053446</v>
      </c>
    </row>
    <row r="312" spans="5:6" x14ac:dyDescent="0.35">
      <c r="E312">
        <v>311</v>
      </c>
      <c r="F312">
        <v>-2818.8577676600544</v>
      </c>
    </row>
    <row r="313" spans="5:6" x14ac:dyDescent="0.35">
      <c r="E313">
        <v>312</v>
      </c>
      <c r="F313">
        <v>-1966.5687968649172</v>
      </c>
    </row>
    <row r="314" spans="5:6" x14ac:dyDescent="0.35">
      <c r="E314">
        <v>313</v>
      </c>
      <c r="F314">
        <v>13422.154545733527</v>
      </c>
    </row>
    <row r="315" spans="5:6" x14ac:dyDescent="0.35">
      <c r="E315">
        <v>314</v>
      </c>
      <c r="F315">
        <v>392.6499631332772</v>
      </c>
    </row>
    <row r="316" spans="5:6" x14ac:dyDescent="0.35">
      <c r="E316">
        <v>315</v>
      </c>
      <c r="F316">
        <v>9571.4316108278799</v>
      </c>
    </row>
    <row r="317" spans="5:6" x14ac:dyDescent="0.35">
      <c r="E317">
        <v>316</v>
      </c>
      <c r="F317">
        <v>-5957.3191288358412</v>
      </c>
    </row>
    <row r="318" spans="5:6" x14ac:dyDescent="0.35">
      <c r="E318">
        <v>317</v>
      </c>
      <c r="F318">
        <v>-3528.9688273168431</v>
      </c>
    </row>
    <row r="319" spans="5:6" x14ac:dyDescent="0.35">
      <c r="E319">
        <v>318</v>
      </c>
      <c r="F319">
        <v>7578.5576849847466</v>
      </c>
    </row>
    <row r="320" spans="5:6" x14ac:dyDescent="0.35">
      <c r="E320">
        <v>319</v>
      </c>
      <c r="F320">
        <v>-2993.3988282704508</v>
      </c>
    </row>
    <row r="321" spans="5:6" x14ac:dyDescent="0.35">
      <c r="E321">
        <v>320</v>
      </c>
      <c r="F321">
        <v>1811.5765501536937</v>
      </c>
    </row>
    <row r="322" spans="5:6" x14ac:dyDescent="0.35">
      <c r="E322">
        <v>321</v>
      </c>
      <c r="F322">
        <v>3676.5171584264826</v>
      </c>
    </row>
    <row r="323" spans="5:6" x14ac:dyDescent="0.35">
      <c r="E323">
        <v>322</v>
      </c>
      <c r="F323">
        <v>666.15103293040738</v>
      </c>
    </row>
    <row r="324" spans="5:6" x14ac:dyDescent="0.35">
      <c r="E324">
        <v>323</v>
      </c>
      <c r="F324">
        <v>-10247.516010802399</v>
      </c>
    </row>
    <row r="325" spans="5:6" x14ac:dyDescent="0.35">
      <c r="E325">
        <v>324</v>
      </c>
      <c r="F325">
        <v>-3299.3381880742322</v>
      </c>
    </row>
    <row r="326" spans="5:6" x14ac:dyDescent="0.35">
      <c r="E326">
        <v>325</v>
      </c>
      <c r="F326">
        <v>519.90552645834498</v>
      </c>
    </row>
    <row r="327" spans="5:6" x14ac:dyDescent="0.35">
      <c r="E327">
        <v>326</v>
      </c>
      <c r="F327">
        <v>-3493.8158967042327</v>
      </c>
    </row>
    <row r="328" spans="5:6" x14ac:dyDescent="0.35">
      <c r="E328">
        <v>327</v>
      </c>
      <c r="F328">
        <v>12413.840715951272</v>
      </c>
    </row>
    <row r="329" spans="5:6" x14ac:dyDescent="0.35">
      <c r="E329">
        <v>328</v>
      </c>
      <c r="F329">
        <v>1357.5702613298229</v>
      </c>
    </row>
    <row r="330" spans="5:6" x14ac:dyDescent="0.35">
      <c r="E330">
        <v>329</v>
      </c>
      <c r="F330">
        <v>9955.1500464147903</v>
      </c>
    </row>
    <row r="331" spans="5:6" x14ac:dyDescent="0.35">
      <c r="E331">
        <v>330</v>
      </c>
      <c r="F331">
        <v>-4703.7213371944017</v>
      </c>
    </row>
    <row r="332" spans="5:6" x14ac:dyDescent="0.35">
      <c r="E332">
        <v>331</v>
      </c>
      <c r="F332">
        <v>-2817.0141780560948</v>
      </c>
    </row>
    <row r="333" spans="5:6" x14ac:dyDescent="0.35">
      <c r="E333">
        <v>332</v>
      </c>
      <c r="F333">
        <v>4308.1642825941435</v>
      </c>
    </row>
    <row r="334" spans="5:6" x14ac:dyDescent="0.35">
      <c r="E334">
        <v>333</v>
      </c>
      <c r="F334">
        <v>-3678.3467563479689</v>
      </c>
    </row>
    <row r="335" spans="5:6" x14ac:dyDescent="0.35">
      <c r="E335">
        <v>334</v>
      </c>
      <c r="F335">
        <v>-1653.4851516362255</v>
      </c>
    </row>
    <row r="336" spans="5:6" x14ac:dyDescent="0.35">
      <c r="E336">
        <v>335</v>
      </c>
      <c r="F336">
        <v>-1565.0126142904999</v>
      </c>
    </row>
    <row r="337" spans="5:6" x14ac:dyDescent="0.35">
      <c r="E337">
        <v>336</v>
      </c>
      <c r="F337">
        <v>1596.2633573217095</v>
      </c>
    </row>
    <row r="338" spans="5:6" x14ac:dyDescent="0.35">
      <c r="E338">
        <v>337</v>
      </c>
      <c r="F338">
        <v>7701.0602424776589</v>
      </c>
    </row>
    <row r="339" spans="5:6" x14ac:dyDescent="0.35">
      <c r="E339">
        <v>338</v>
      </c>
      <c r="F339">
        <v>5525.5709036083426</v>
      </c>
    </row>
    <row r="340" spans="5:6" x14ac:dyDescent="0.35">
      <c r="E340">
        <v>339</v>
      </c>
      <c r="F340">
        <v>814.12451069257111</v>
      </c>
    </row>
    <row r="341" spans="5:6" x14ac:dyDescent="0.35">
      <c r="E341">
        <v>340</v>
      </c>
      <c r="F341">
        <v>4339.102990120844</v>
      </c>
    </row>
    <row r="342" spans="5:6" x14ac:dyDescent="0.35">
      <c r="E342">
        <v>341</v>
      </c>
      <c r="F342">
        <v>-7358.9122543086851</v>
      </c>
    </row>
    <row r="343" spans="5:6" x14ac:dyDescent="0.35">
      <c r="E343">
        <v>342</v>
      </c>
      <c r="F343">
        <v>-7184.5440681032569</v>
      </c>
    </row>
    <row r="344" spans="5:6" x14ac:dyDescent="0.35">
      <c r="E344">
        <v>343</v>
      </c>
      <c r="F344">
        <v>-855.37829111006727</v>
      </c>
    </row>
    <row r="345" spans="5:6" x14ac:dyDescent="0.35">
      <c r="E345">
        <v>344</v>
      </c>
      <c r="F345">
        <v>-804.0530183949312</v>
      </c>
    </row>
    <row r="346" spans="5:6" x14ac:dyDescent="0.35">
      <c r="E346">
        <v>345</v>
      </c>
      <c r="F346">
        <v>3350.551142585814</v>
      </c>
    </row>
    <row r="347" spans="5:6" x14ac:dyDescent="0.35">
      <c r="E347">
        <v>346</v>
      </c>
      <c r="F347">
        <v>8493.1683240909842</v>
      </c>
    </row>
    <row r="348" spans="5:6" x14ac:dyDescent="0.35">
      <c r="E348">
        <v>347</v>
      </c>
      <c r="F348">
        <v>4325.9885516054401</v>
      </c>
    </row>
    <row r="349" spans="5:6" x14ac:dyDescent="0.35">
      <c r="E349">
        <v>348</v>
      </c>
      <c r="F349">
        <v>5063.0346798047467</v>
      </c>
    </row>
    <row r="350" spans="5:6" x14ac:dyDescent="0.35">
      <c r="E350">
        <v>349</v>
      </c>
      <c r="F350">
        <v>9204.9581217177893</v>
      </c>
    </row>
    <row r="351" spans="5:6" x14ac:dyDescent="0.35">
      <c r="E351">
        <v>350</v>
      </c>
      <c r="F351">
        <v>-4424.9632235318359</v>
      </c>
    </row>
    <row r="352" spans="5:6" x14ac:dyDescent="0.35">
      <c r="E352">
        <v>351</v>
      </c>
      <c r="F352">
        <v>2324.2434743121271</v>
      </c>
    </row>
    <row r="353" spans="5:6" x14ac:dyDescent="0.35">
      <c r="E353">
        <v>352</v>
      </c>
      <c r="F353">
        <v>-1122.6141358492798</v>
      </c>
    </row>
    <row r="354" spans="5:6" x14ac:dyDescent="0.35">
      <c r="E354">
        <v>353</v>
      </c>
      <c r="F354">
        <v>-2341.2399161162116</v>
      </c>
    </row>
    <row r="355" spans="5:6" x14ac:dyDescent="0.35">
      <c r="E355">
        <v>354</v>
      </c>
      <c r="F355">
        <v>411.28936158327815</v>
      </c>
    </row>
    <row r="356" spans="5:6" x14ac:dyDescent="0.35">
      <c r="E356">
        <v>355</v>
      </c>
      <c r="F356">
        <v>-2117.5450288912311</v>
      </c>
    </row>
    <row r="357" spans="5:6" x14ac:dyDescent="0.35">
      <c r="E357">
        <v>356</v>
      </c>
      <c r="F357">
        <v>-603.75396353264716</v>
      </c>
    </row>
    <row r="358" spans="5:6" x14ac:dyDescent="0.35">
      <c r="E358">
        <v>357</v>
      </c>
      <c r="F358">
        <v>-2773.5912103805063</v>
      </c>
    </row>
    <row r="359" spans="5:6" x14ac:dyDescent="0.35">
      <c r="E359">
        <v>358</v>
      </c>
      <c r="F359">
        <v>3475.4611493628654</v>
      </c>
    </row>
    <row r="360" spans="5:6" x14ac:dyDescent="0.35">
      <c r="E360">
        <v>359</v>
      </c>
      <c r="F360">
        <v>2662.9044226823285</v>
      </c>
    </row>
    <row r="361" spans="5:6" x14ac:dyDescent="0.35">
      <c r="E361">
        <v>360</v>
      </c>
      <c r="F361">
        <v>4858.587476707934</v>
      </c>
    </row>
    <row r="362" spans="5:6" x14ac:dyDescent="0.35">
      <c r="E362">
        <v>361</v>
      </c>
      <c r="F362">
        <v>11478.193477234381</v>
      </c>
    </row>
    <row r="363" spans="5:6" x14ac:dyDescent="0.35">
      <c r="E363">
        <v>362</v>
      </c>
      <c r="F363">
        <v>376.25269685735759</v>
      </c>
    </row>
    <row r="364" spans="5:6" x14ac:dyDescent="0.35">
      <c r="E364">
        <v>363</v>
      </c>
      <c r="F364">
        <v>-12218.127271875179</v>
      </c>
    </row>
    <row r="365" spans="5:6" x14ac:dyDescent="0.35">
      <c r="E365">
        <v>364</v>
      </c>
      <c r="F365">
        <v>-5680.4246346860418</v>
      </c>
    </row>
    <row r="366" spans="5:6" x14ac:dyDescent="0.35">
      <c r="E366">
        <v>365</v>
      </c>
      <c r="F366">
        <v>24.192242728518977</v>
      </c>
    </row>
    <row r="367" spans="5:6" x14ac:dyDescent="0.35">
      <c r="E367">
        <v>366</v>
      </c>
      <c r="F367">
        <v>-3214.6156947879299</v>
      </c>
    </row>
    <row r="368" spans="5:6" x14ac:dyDescent="0.35">
      <c r="E368">
        <v>367</v>
      </c>
      <c r="F368">
        <v>7533.0565956245464</v>
      </c>
    </row>
    <row r="369" spans="5:6" x14ac:dyDescent="0.35">
      <c r="E369">
        <v>368</v>
      </c>
      <c r="F369">
        <v>-5027.7221831825491</v>
      </c>
    </row>
    <row r="370" spans="5:6" x14ac:dyDescent="0.35">
      <c r="E370">
        <v>369</v>
      </c>
      <c r="F370">
        <v>6067.0524522076521</v>
      </c>
    </row>
    <row r="371" spans="5:6" x14ac:dyDescent="0.35">
      <c r="E371">
        <v>370</v>
      </c>
      <c r="F371">
        <v>-5642.5354587270485</v>
      </c>
    </row>
    <row r="372" spans="5:6" x14ac:dyDescent="0.35">
      <c r="E372">
        <v>371</v>
      </c>
      <c r="F372">
        <v>3935.494138418343</v>
      </c>
    </row>
    <row r="373" spans="5:6" x14ac:dyDescent="0.35">
      <c r="E373">
        <v>372</v>
      </c>
      <c r="F373">
        <v>-7107.7328946178441</v>
      </c>
    </row>
    <row r="374" spans="5:6" x14ac:dyDescent="0.35">
      <c r="E374">
        <v>373</v>
      </c>
      <c r="F374">
        <v>-1087.0811684160633</v>
      </c>
    </row>
    <row r="375" spans="5:6" x14ac:dyDescent="0.35">
      <c r="E375">
        <v>374</v>
      </c>
      <c r="F375">
        <v>-9901.4328747223408</v>
      </c>
    </row>
    <row r="376" spans="5:6" x14ac:dyDescent="0.35">
      <c r="E376">
        <v>375</v>
      </c>
      <c r="F376">
        <v>-4691.8361044937301</v>
      </c>
    </row>
    <row r="377" spans="5:6" x14ac:dyDescent="0.35">
      <c r="E377">
        <v>376</v>
      </c>
      <c r="F377">
        <v>18279.280870077368</v>
      </c>
    </row>
    <row r="378" spans="5:6" x14ac:dyDescent="0.35">
      <c r="E378">
        <v>377</v>
      </c>
      <c r="F378">
        <v>-2859.6459758174688</v>
      </c>
    </row>
    <row r="379" spans="5:6" x14ac:dyDescent="0.35">
      <c r="E379">
        <v>378</v>
      </c>
      <c r="F379">
        <v>-6.7650786208758547</v>
      </c>
    </row>
    <row r="380" spans="5:6" x14ac:dyDescent="0.35">
      <c r="E380">
        <v>379</v>
      </c>
      <c r="F380">
        <v>-1044.3044999353756</v>
      </c>
    </row>
    <row r="381" spans="5:6" x14ac:dyDescent="0.35">
      <c r="E381">
        <v>380</v>
      </c>
      <c r="F381">
        <v>2677.5585465794338</v>
      </c>
    </row>
    <row r="382" spans="5:6" x14ac:dyDescent="0.35">
      <c r="E382">
        <v>381</v>
      </c>
      <c r="F382">
        <v>-8035.1734579767526</v>
      </c>
    </row>
    <row r="383" spans="5:6" x14ac:dyDescent="0.35">
      <c r="E383">
        <v>382</v>
      </c>
      <c r="F383">
        <v>-8292.2110713485199</v>
      </c>
    </row>
    <row r="384" spans="5:6" x14ac:dyDescent="0.35">
      <c r="E384">
        <v>383</v>
      </c>
      <c r="F384">
        <v>-5512.9159756445679</v>
      </c>
    </row>
    <row r="385" spans="5:6" x14ac:dyDescent="0.35">
      <c r="E385">
        <v>384</v>
      </c>
      <c r="F385">
        <v>4038.7142373496627</v>
      </c>
    </row>
    <row r="386" spans="5:6" x14ac:dyDescent="0.35">
      <c r="E386">
        <v>385</v>
      </c>
      <c r="F386">
        <v>2830.700975800969</v>
      </c>
    </row>
    <row r="387" spans="5:6" x14ac:dyDescent="0.35">
      <c r="E387">
        <v>386</v>
      </c>
      <c r="F387">
        <v>-3033.6034792418645</v>
      </c>
    </row>
    <row r="388" spans="5:6" x14ac:dyDescent="0.35">
      <c r="E388">
        <v>387</v>
      </c>
      <c r="F388">
        <v>6936.2170413853528</v>
      </c>
    </row>
    <row r="389" spans="5:6" x14ac:dyDescent="0.35">
      <c r="E389">
        <v>388</v>
      </c>
      <c r="F389">
        <v>-2478.3438504819155</v>
      </c>
    </row>
    <row r="390" spans="5:6" x14ac:dyDescent="0.35">
      <c r="E390">
        <v>389</v>
      </c>
      <c r="F390">
        <v>3744.6322184315927</v>
      </c>
    </row>
    <row r="391" spans="5:6" x14ac:dyDescent="0.35">
      <c r="E391">
        <v>390</v>
      </c>
      <c r="F391">
        <v>-5952.4440101875371</v>
      </c>
    </row>
    <row r="392" spans="5:6" x14ac:dyDescent="0.35">
      <c r="E392">
        <v>391</v>
      </c>
      <c r="F392">
        <v>-1802.8609638191442</v>
      </c>
    </row>
    <row r="393" spans="5:6" x14ac:dyDescent="0.35">
      <c r="E393">
        <v>392</v>
      </c>
      <c r="F393">
        <v>-3274.8070545371802</v>
      </c>
    </row>
    <row r="394" spans="5:6" x14ac:dyDescent="0.35">
      <c r="E394">
        <v>393</v>
      </c>
      <c r="F394">
        <v>2993.9981928108655</v>
      </c>
    </row>
    <row r="395" spans="5:6" x14ac:dyDescent="0.35">
      <c r="E395">
        <v>394</v>
      </c>
      <c r="F395">
        <v>20866.341351329778</v>
      </c>
    </row>
    <row r="396" spans="5:6" x14ac:dyDescent="0.35">
      <c r="E396">
        <v>395</v>
      </c>
      <c r="F396">
        <v>-3156.8798398623621</v>
      </c>
    </row>
    <row r="397" spans="5:6" x14ac:dyDescent="0.35">
      <c r="E397">
        <v>396</v>
      </c>
      <c r="F397">
        <v>8852.7209229787077</v>
      </c>
    </row>
    <row r="398" spans="5:6" x14ac:dyDescent="0.35">
      <c r="E398">
        <v>397</v>
      </c>
      <c r="F398">
        <v>501.83968589401144</v>
      </c>
    </row>
    <row r="399" spans="5:6" x14ac:dyDescent="0.35">
      <c r="E399">
        <v>398</v>
      </c>
      <c r="F399">
        <v>3381.0776834114085</v>
      </c>
    </row>
    <row r="400" spans="5:6" x14ac:dyDescent="0.35">
      <c r="E400">
        <v>399</v>
      </c>
      <c r="F400">
        <v>-4286.5192444375152</v>
      </c>
    </row>
    <row r="401" spans="5:6" x14ac:dyDescent="0.35">
      <c r="E401">
        <v>400</v>
      </c>
      <c r="F401">
        <v>-2511.8720803178103</v>
      </c>
    </row>
    <row r="402" spans="5:6" x14ac:dyDescent="0.35">
      <c r="E402">
        <v>401</v>
      </c>
      <c r="F402">
        <v>9697.7410230118785</v>
      </c>
    </row>
    <row r="403" spans="5:6" x14ac:dyDescent="0.35">
      <c r="E403">
        <v>402</v>
      </c>
      <c r="F403">
        <v>1019.1659169015259</v>
      </c>
    </row>
    <row r="404" spans="5:6" x14ac:dyDescent="0.35">
      <c r="E404">
        <v>403</v>
      </c>
      <c r="F404">
        <v>-17656.881292620066</v>
      </c>
    </row>
    <row r="405" spans="5:6" x14ac:dyDescent="0.35">
      <c r="E405">
        <v>404</v>
      </c>
      <c r="F405">
        <v>3444.3922448228473</v>
      </c>
    </row>
    <row r="406" spans="5:6" x14ac:dyDescent="0.35">
      <c r="E406">
        <v>405</v>
      </c>
      <c r="F406">
        <v>7970.1803433490932</v>
      </c>
    </row>
    <row r="407" spans="5:6" x14ac:dyDescent="0.35">
      <c r="E407">
        <v>406</v>
      </c>
      <c r="F407">
        <v>-945.51397391636783</v>
      </c>
    </row>
    <row r="408" spans="5:6" x14ac:dyDescent="0.35">
      <c r="E408">
        <v>407</v>
      </c>
      <c r="F408">
        <v>2683.6104081554649</v>
      </c>
    </row>
    <row r="409" spans="5:6" x14ac:dyDescent="0.35">
      <c r="E409">
        <v>408</v>
      </c>
      <c r="F409">
        <v>-5490.4771381122027</v>
      </c>
    </row>
    <row r="410" spans="5:6" x14ac:dyDescent="0.35">
      <c r="E410">
        <v>409</v>
      </c>
      <c r="F410">
        <v>-5669.3057670560947</v>
      </c>
    </row>
    <row r="411" spans="5:6" x14ac:dyDescent="0.35">
      <c r="E411">
        <v>410</v>
      </c>
      <c r="F411">
        <v>7582.1889363078444</v>
      </c>
    </row>
    <row r="412" spans="5:6" x14ac:dyDescent="0.35">
      <c r="E412">
        <v>411</v>
      </c>
      <c r="F412">
        <v>19649.523848648292</v>
      </c>
    </row>
    <row r="413" spans="5:6" x14ac:dyDescent="0.35">
      <c r="E413">
        <v>412</v>
      </c>
      <c r="F413">
        <v>-1143.9771714995495</v>
      </c>
    </row>
    <row r="414" spans="5:6" x14ac:dyDescent="0.35">
      <c r="E414">
        <v>413</v>
      </c>
      <c r="F414">
        <v>-4557.3330461248224</v>
      </c>
    </row>
    <row r="415" spans="5:6" x14ac:dyDescent="0.35">
      <c r="E415">
        <v>414</v>
      </c>
      <c r="F415">
        <v>2988.6386811292905</v>
      </c>
    </row>
    <row r="416" spans="5:6" x14ac:dyDescent="0.35">
      <c r="E416">
        <v>415</v>
      </c>
      <c r="F416">
        <v>4151.2128504661896</v>
      </c>
    </row>
    <row r="417" spans="5:6" x14ac:dyDescent="0.35">
      <c r="E417">
        <v>416</v>
      </c>
      <c r="F417">
        <v>2353.3601892284078</v>
      </c>
    </row>
    <row r="418" spans="5:6" x14ac:dyDescent="0.35">
      <c r="E418">
        <v>417</v>
      </c>
      <c r="F418">
        <v>1435.6632709882938</v>
      </c>
    </row>
    <row r="419" spans="5:6" x14ac:dyDescent="0.35">
      <c r="E419">
        <v>418</v>
      </c>
      <c r="F419">
        <v>-2463.2567132461527</v>
      </c>
    </row>
    <row r="420" spans="5:6" x14ac:dyDescent="0.35">
      <c r="E420">
        <v>419</v>
      </c>
      <c r="F420">
        <v>15529.700832999275</v>
      </c>
    </row>
    <row r="421" spans="5:6" x14ac:dyDescent="0.35">
      <c r="E421">
        <v>420</v>
      </c>
      <c r="F421">
        <v>-3105.2898244091361</v>
      </c>
    </row>
    <row r="422" spans="5:6" x14ac:dyDescent="0.35">
      <c r="E422">
        <v>421</v>
      </c>
      <c r="F422">
        <v>4260.6945246115974</v>
      </c>
    </row>
    <row r="423" spans="5:6" x14ac:dyDescent="0.35">
      <c r="E423">
        <v>422</v>
      </c>
      <c r="F423">
        <v>-10163.677723448551</v>
      </c>
    </row>
    <row r="424" spans="5:6" x14ac:dyDescent="0.35">
      <c r="E424">
        <v>423</v>
      </c>
      <c r="F424">
        <v>-10809.678803039082</v>
      </c>
    </row>
    <row r="425" spans="5:6" x14ac:dyDescent="0.35">
      <c r="E425">
        <v>424</v>
      </c>
      <c r="F425">
        <v>-5160.6217805135275</v>
      </c>
    </row>
    <row r="426" spans="5:6" x14ac:dyDescent="0.35">
      <c r="E426">
        <v>425</v>
      </c>
      <c r="F426">
        <v>-14159.041294161807</v>
      </c>
    </row>
    <row r="427" spans="5:6" x14ac:dyDescent="0.35">
      <c r="E427">
        <v>426</v>
      </c>
      <c r="F427">
        <v>-1870.6577370488662</v>
      </c>
    </row>
    <row r="428" spans="5:6" x14ac:dyDescent="0.35">
      <c r="E428">
        <v>427</v>
      </c>
      <c r="F428">
        <v>9151.2163111086284</v>
      </c>
    </row>
    <row r="429" spans="5:6" x14ac:dyDescent="0.35">
      <c r="E429">
        <v>428</v>
      </c>
      <c r="F429">
        <v>-7994.3339835090792</v>
      </c>
    </row>
    <row r="430" spans="5:6" x14ac:dyDescent="0.35">
      <c r="E430">
        <v>429</v>
      </c>
      <c r="F430">
        <v>585.54997990273614</v>
      </c>
    </row>
    <row r="431" spans="5:6" x14ac:dyDescent="0.35">
      <c r="E431">
        <v>430</v>
      </c>
      <c r="F431">
        <v>290.32001118925785</v>
      </c>
    </row>
    <row r="432" spans="5:6" x14ac:dyDescent="0.35">
      <c r="E432">
        <v>431</v>
      </c>
      <c r="F432">
        <v>761.79535458357429</v>
      </c>
    </row>
    <row r="433" spans="5:6" x14ac:dyDescent="0.35">
      <c r="E433">
        <v>432</v>
      </c>
      <c r="F433">
        <v>8610.770004889604</v>
      </c>
    </row>
    <row r="434" spans="5:6" x14ac:dyDescent="0.35">
      <c r="E434">
        <v>433</v>
      </c>
      <c r="F434">
        <v>-268.46307674016862</v>
      </c>
    </row>
    <row r="435" spans="5:6" x14ac:dyDescent="0.35">
      <c r="E435">
        <v>434</v>
      </c>
      <c r="F435">
        <v>-6406.8815377046567</v>
      </c>
    </row>
    <row r="436" spans="5:6" x14ac:dyDescent="0.35">
      <c r="E436">
        <v>435</v>
      </c>
      <c r="F436">
        <v>5183.9679080947826</v>
      </c>
    </row>
    <row r="437" spans="5:6" x14ac:dyDescent="0.35">
      <c r="E437">
        <v>436</v>
      </c>
      <c r="F437">
        <v>-2937.3743832430227</v>
      </c>
    </row>
    <row r="438" spans="5:6" x14ac:dyDescent="0.35">
      <c r="E438">
        <v>437</v>
      </c>
      <c r="F438">
        <v>-3863.7029101757348</v>
      </c>
    </row>
    <row r="439" spans="5:6" x14ac:dyDescent="0.35">
      <c r="E439">
        <v>438</v>
      </c>
      <c r="F439">
        <v>-6471.3929285548093</v>
      </c>
    </row>
    <row r="440" spans="5:6" x14ac:dyDescent="0.35">
      <c r="E440">
        <v>439</v>
      </c>
      <c r="F440">
        <v>-1659.967952599686</v>
      </c>
    </row>
    <row r="441" spans="5:6" x14ac:dyDescent="0.35">
      <c r="E441">
        <v>440</v>
      </c>
      <c r="F441">
        <v>1226.3132821000115</v>
      </c>
    </row>
    <row r="442" spans="5:6" x14ac:dyDescent="0.35">
      <c r="E442">
        <v>441</v>
      </c>
      <c r="F442">
        <v>-471.88168213184156</v>
      </c>
    </row>
    <row r="443" spans="5:6" x14ac:dyDescent="0.35">
      <c r="E443">
        <v>442</v>
      </c>
      <c r="F443">
        <v>-8397.7490484023365</v>
      </c>
    </row>
    <row r="444" spans="5:6" x14ac:dyDescent="0.35">
      <c r="E444">
        <v>443</v>
      </c>
      <c r="F444">
        <v>7102.5518315770314</v>
      </c>
    </row>
    <row r="445" spans="5:6" x14ac:dyDescent="0.35">
      <c r="E445">
        <v>444</v>
      </c>
      <c r="F445">
        <v>-1586.4642205752607</v>
      </c>
    </row>
    <row r="446" spans="5:6" x14ac:dyDescent="0.35">
      <c r="E446">
        <v>445</v>
      </c>
      <c r="F446">
        <v>3599.32176758583</v>
      </c>
    </row>
    <row r="447" spans="5:6" x14ac:dyDescent="0.35">
      <c r="E447">
        <v>446</v>
      </c>
      <c r="F447">
        <v>3919.094678201609</v>
      </c>
    </row>
    <row r="448" spans="5:6" x14ac:dyDescent="0.35">
      <c r="E448">
        <v>447</v>
      </c>
      <c r="F448">
        <v>745.72646664138267</v>
      </c>
    </row>
    <row r="449" spans="5:6" x14ac:dyDescent="0.35">
      <c r="E449">
        <v>448</v>
      </c>
      <c r="F449">
        <v>830.24443253602669</v>
      </c>
    </row>
    <row r="450" spans="5:6" x14ac:dyDescent="0.35">
      <c r="E450">
        <v>449</v>
      </c>
      <c r="F450">
        <v>-11210.184434855852</v>
      </c>
    </row>
    <row r="451" spans="5:6" x14ac:dyDescent="0.35">
      <c r="E451">
        <v>450</v>
      </c>
      <c r="F451">
        <v>2512.6492271467687</v>
      </c>
    </row>
    <row r="452" spans="5:6" x14ac:dyDescent="0.35">
      <c r="E452">
        <v>451</v>
      </c>
      <c r="F452">
        <v>-8354.9046199649383</v>
      </c>
    </row>
    <row r="453" spans="5:6" x14ac:dyDescent="0.35">
      <c r="E453">
        <v>452</v>
      </c>
      <c r="F453">
        <v>-77.992056730978078</v>
      </c>
    </row>
    <row r="454" spans="5:6" x14ac:dyDescent="0.35">
      <c r="E454">
        <v>453</v>
      </c>
      <c r="F454">
        <v>108.11267057718214</v>
      </c>
    </row>
    <row r="455" spans="5:6" x14ac:dyDescent="0.35">
      <c r="E455">
        <v>454</v>
      </c>
      <c r="F455">
        <v>-7813.6383435452099</v>
      </c>
    </row>
    <row r="456" spans="5:6" x14ac:dyDescent="0.35">
      <c r="E456">
        <v>455</v>
      </c>
      <c r="F456">
        <v>-2762.4543279978693</v>
      </c>
    </row>
    <row r="457" spans="5:6" x14ac:dyDescent="0.35">
      <c r="E457">
        <v>456</v>
      </c>
      <c r="F457">
        <v>-4865.8161241538037</v>
      </c>
    </row>
    <row r="458" spans="5:6" x14ac:dyDescent="0.35">
      <c r="E458">
        <v>457</v>
      </c>
      <c r="F458">
        <v>-114.01432275968332</v>
      </c>
    </row>
    <row r="459" spans="5:6" x14ac:dyDescent="0.35">
      <c r="E459">
        <v>458</v>
      </c>
      <c r="F459">
        <v>-7028.7126643436386</v>
      </c>
    </row>
    <row r="460" spans="5:6" x14ac:dyDescent="0.35">
      <c r="E460">
        <v>459</v>
      </c>
      <c r="F460">
        <v>-689.83522463195777</v>
      </c>
    </row>
    <row r="461" spans="5:6" x14ac:dyDescent="0.35">
      <c r="E461">
        <v>460</v>
      </c>
      <c r="F461">
        <v>-1326.923404725314</v>
      </c>
    </row>
    <row r="462" spans="5:6" x14ac:dyDescent="0.35">
      <c r="E462">
        <v>461</v>
      </c>
      <c r="F462">
        <v>6949.7074888128518</v>
      </c>
    </row>
    <row r="463" spans="5:6" x14ac:dyDescent="0.35">
      <c r="E463">
        <v>462</v>
      </c>
      <c r="F463">
        <v>-357.49206975231243</v>
      </c>
    </row>
    <row r="464" spans="5:6" x14ac:dyDescent="0.35">
      <c r="E464">
        <v>463</v>
      </c>
      <c r="F464">
        <v>-3367.1230026238818</v>
      </c>
    </row>
    <row r="465" spans="5:6" x14ac:dyDescent="0.35">
      <c r="E465">
        <v>464</v>
      </c>
      <c r="F465">
        <v>-22453.393129819604</v>
      </c>
    </row>
    <row r="466" spans="5:6" x14ac:dyDescent="0.35">
      <c r="E466">
        <v>465</v>
      </c>
      <c r="F466">
        <v>1375.2117872632598</v>
      </c>
    </row>
    <row r="467" spans="5:6" x14ac:dyDescent="0.35">
      <c r="E467">
        <v>466</v>
      </c>
      <c r="F467">
        <v>-5972.2400877602104</v>
      </c>
    </row>
    <row r="468" spans="5:6" x14ac:dyDescent="0.35">
      <c r="E468">
        <v>467</v>
      </c>
      <c r="F468">
        <v>-8803.4504408640933</v>
      </c>
    </row>
    <row r="469" spans="5:6" x14ac:dyDescent="0.35">
      <c r="E469">
        <v>468</v>
      </c>
      <c r="F469">
        <v>-5058.9532352124434</v>
      </c>
    </row>
    <row r="470" spans="5:6" x14ac:dyDescent="0.35">
      <c r="E470">
        <v>469</v>
      </c>
      <c r="F470">
        <v>561.05382887623102</v>
      </c>
    </row>
    <row r="471" spans="5:6" x14ac:dyDescent="0.35">
      <c r="E471">
        <v>470</v>
      </c>
      <c r="F471">
        <v>3975.2870177449872</v>
      </c>
    </row>
    <row r="472" spans="5:6" x14ac:dyDescent="0.35">
      <c r="E472">
        <v>471</v>
      </c>
      <c r="F472">
        <v>11161.427847334322</v>
      </c>
    </row>
    <row r="473" spans="5:6" x14ac:dyDescent="0.35">
      <c r="E473">
        <v>472</v>
      </c>
      <c r="F473">
        <v>-7118.5305852339388</v>
      </c>
    </row>
    <row r="474" spans="5:6" x14ac:dyDescent="0.35">
      <c r="E474">
        <v>473</v>
      </c>
      <c r="F474">
        <v>-240.05631427990375</v>
      </c>
    </row>
    <row r="475" spans="5:6" x14ac:dyDescent="0.35">
      <c r="E475">
        <v>474</v>
      </c>
      <c r="F475">
        <v>4345.7115569698981</v>
      </c>
    </row>
    <row r="476" spans="5:6" x14ac:dyDescent="0.35">
      <c r="E476">
        <v>475</v>
      </c>
      <c r="F476">
        <v>2509.5213577535314</v>
      </c>
    </row>
    <row r="477" spans="5:6" x14ac:dyDescent="0.35">
      <c r="E477">
        <v>476</v>
      </c>
      <c r="F477">
        <v>-12086.145394316729</v>
      </c>
    </row>
    <row r="478" spans="5:6" x14ac:dyDescent="0.35">
      <c r="E478">
        <v>477</v>
      </c>
      <c r="F478">
        <v>-403.0450319614929</v>
      </c>
    </row>
    <row r="479" spans="5:6" x14ac:dyDescent="0.35">
      <c r="E479">
        <v>478</v>
      </c>
      <c r="F479">
        <v>-5135.4169602739303</v>
      </c>
    </row>
    <row r="480" spans="5:6" x14ac:dyDescent="0.35">
      <c r="E480">
        <v>479</v>
      </c>
      <c r="F480">
        <v>379.44931368279867</v>
      </c>
    </row>
    <row r="481" spans="5:6" x14ac:dyDescent="0.35">
      <c r="E481">
        <v>480</v>
      </c>
      <c r="F481">
        <v>-5135.5230463898133</v>
      </c>
    </row>
    <row r="482" spans="5:6" x14ac:dyDescent="0.35">
      <c r="E482">
        <v>481</v>
      </c>
      <c r="F482">
        <v>-3806.3798871197587</v>
      </c>
    </row>
    <row r="483" spans="5:6" x14ac:dyDescent="0.35">
      <c r="E483">
        <v>482</v>
      </c>
      <c r="F483">
        <v>-5594.2886386907085</v>
      </c>
    </row>
    <row r="484" spans="5:6" x14ac:dyDescent="0.35">
      <c r="E484">
        <v>483</v>
      </c>
      <c r="F484">
        <v>1052.6999645846959</v>
      </c>
    </row>
    <row r="485" spans="5:6" x14ac:dyDescent="0.35">
      <c r="E485">
        <v>484</v>
      </c>
      <c r="F485">
        <v>-6218.2246482261444</v>
      </c>
    </row>
    <row r="486" spans="5:6" x14ac:dyDescent="0.35">
      <c r="E486">
        <v>485</v>
      </c>
      <c r="F486">
        <v>-1071.2231415767544</v>
      </c>
    </row>
    <row r="487" spans="5:6" x14ac:dyDescent="0.35">
      <c r="E487">
        <v>486</v>
      </c>
      <c r="F487">
        <v>-6676.0113727280768</v>
      </c>
    </row>
    <row r="488" spans="5:6" x14ac:dyDescent="0.35">
      <c r="E488">
        <v>487</v>
      </c>
      <c r="F488">
        <v>949.55932959189397</v>
      </c>
    </row>
    <row r="489" spans="5:6" x14ac:dyDescent="0.35">
      <c r="E489">
        <v>488</v>
      </c>
      <c r="F489">
        <v>-17638.973000418282</v>
      </c>
    </row>
    <row r="490" spans="5:6" x14ac:dyDescent="0.35">
      <c r="E490">
        <v>489</v>
      </c>
      <c r="F490">
        <v>-18582.862082275005</v>
      </c>
    </row>
    <row r="491" spans="5:6" x14ac:dyDescent="0.35">
      <c r="E491">
        <v>490</v>
      </c>
      <c r="F491">
        <v>-3931.3749948969353</v>
      </c>
    </row>
    <row r="492" spans="5:6" x14ac:dyDescent="0.35">
      <c r="E492">
        <v>491</v>
      </c>
      <c r="F492">
        <v>-8720.6199767983708</v>
      </c>
    </row>
    <row r="493" spans="5:6" x14ac:dyDescent="0.35">
      <c r="E493">
        <v>492</v>
      </c>
      <c r="F493">
        <v>1298.9884235825743</v>
      </c>
    </row>
    <row r="494" spans="5:6" x14ac:dyDescent="0.35">
      <c r="E494">
        <v>493</v>
      </c>
      <c r="F494">
        <v>1302.4533160339449</v>
      </c>
    </row>
    <row r="495" spans="5:6" x14ac:dyDescent="0.35">
      <c r="E495">
        <v>494</v>
      </c>
      <c r="F495">
        <v>-1134.7635635018762</v>
      </c>
    </row>
    <row r="496" spans="5:6" x14ac:dyDescent="0.35">
      <c r="E496">
        <v>495</v>
      </c>
      <c r="F496">
        <v>-312.86967980407712</v>
      </c>
    </row>
    <row r="497" spans="5:6" x14ac:dyDescent="0.35">
      <c r="E497">
        <v>496</v>
      </c>
      <c r="F497">
        <v>-3020.0977184992371</v>
      </c>
    </row>
    <row r="498" spans="5:6" x14ac:dyDescent="0.35">
      <c r="E498">
        <v>497</v>
      </c>
      <c r="F498">
        <v>-2112.8468539801847</v>
      </c>
    </row>
    <row r="499" spans="5:6" x14ac:dyDescent="0.35">
      <c r="E499">
        <v>498</v>
      </c>
      <c r="F499">
        <v>-6380.4123786315658</v>
      </c>
    </row>
    <row r="500" spans="5:6" x14ac:dyDescent="0.35">
      <c r="E500">
        <v>499</v>
      </c>
      <c r="F500">
        <v>-9966.6777030873782</v>
      </c>
    </row>
    <row r="501" spans="5:6" x14ac:dyDescent="0.35">
      <c r="E501">
        <v>500</v>
      </c>
      <c r="F501">
        <v>-1356.6241088703064</v>
      </c>
    </row>
    <row r="502" spans="5:6" x14ac:dyDescent="0.35">
      <c r="E502">
        <v>501</v>
      </c>
      <c r="F502">
        <v>-2449.3178136157567</v>
      </c>
    </row>
    <row r="503" spans="5:6" x14ac:dyDescent="0.35">
      <c r="E503">
        <v>502</v>
      </c>
      <c r="F503">
        <v>4392.8760595349895</v>
      </c>
    </row>
    <row r="504" spans="5:6" x14ac:dyDescent="0.35">
      <c r="E504">
        <v>503</v>
      </c>
      <c r="F504">
        <v>-3789.6018954859742</v>
      </c>
    </row>
    <row r="505" spans="5:6" x14ac:dyDescent="0.35">
      <c r="E505">
        <v>504</v>
      </c>
      <c r="F505">
        <v>-6360.3722351852421</v>
      </c>
    </row>
    <row r="506" spans="5:6" x14ac:dyDescent="0.35">
      <c r="E506">
        <v>505</v>
      </c>
      <c r="F506">
        <v>5738.4058007457779</v>
      </c>
    </row>
    <row r="507" spans="5:6" x14ac:dyDescent="0.35">
      <c r="E507">
        <v>506</v>
      </c>
      <c r="F507">
        <v>8843.8160509859736</v>
      </c>
    </row>
    <row r="508" spans="5:6" x14ac:dyDescent="0.35">
      <c r="E508">
        <v>507</v>
      </c>
      <c r="F508">
        <v>991.40643009787982</v>
      </c>
    </row>
    <row r="509" spans="5:6" x14ac:dyDescent="0.35">
      <c r="E509">
        <v>508</v>
      </c>
      <c r="F509">
        <v>189.61251780027933</v>
      </c>
    </row>
    <row r="510" spans="5:6" x14ac:dyDescent="0.35">
      <c r="E510">
        <v>509</v>
      </c>
      <c r="F510">
        <v>-6898.9606423090518</v>
      </c>
    </row>
    <row r="511" spans="5:6" x14ac:dyDescent="0.35">
      <c r="E511">
        <v>510</v>
      </c>
      <c r="F511">
        <v>-1059.9533564429998</v>
      </c>
    </row>
    <row r="512" spans="5:6" x14ac:dyDescent="0.35">
      <c r="E512">
        <v>511</v>
      </c>
      <c r="F512">
        <v>-3315.550511366353</v>
      </c>
    </row>
    <row r="513" spans="5:6" x14ac:dyDescent="0.35">
      <c r="E513">
        <v>512</v>
      </c>
      <c r="F513">
        <v>-3588.0819913136761</v>
      </c>
    </row>
    <row r="514" spans="5:6" x14ac:dyDescent="0.35">
      <c r="E514">
        <v>513</v>
      </c>
      <c r="F514">
        <v>10176.997325819839</v>
      </c>
    </row>
    <row r="515" spans="5:6" x14ac:dyDescent="0.35">
      <c r="E515">
        <v>514</v>
      </c>
      <c r="F515">
        <v>-2557.7471656375842</v>
      </c>
    </row>
    <row r="516" spans="5:6" x14ac:dyDescent="0.35">
      <c r="E516">
        <v>515</v>
      </c>
      <c r="F516">
        <v>4957.8828219703964</v>
      </c>
    </row>
    <row r="517" spans="5:6" x14ac:dyDescent="0.35">
      <c r="E517">
        <v>516</v>
      </c>
      <c r="F517">
        <v>9960.3612395949494</v>
      </c>
    </row>
    <row r="518" spans="5:6" x14ac:dyDescent="0.35">
      <c r="E518">
        <v>517</v>
      </c>
      <c r="F518">
        <v>-358.33406305019571</v>
      </c>
    </row>
    <row r="519" spans="5:6" x14ac:dyDescent="0.35">
      <c r="E519">
        <v>518</v>
      </c>
      <c r="F519">
        <v>10673.388550450058</v>
      </c>
    </row>
    <row r="520" spans="5:6" x14ac:dyDescent="0.35">
      <c r="E520">
        <v>519</v>
      </c>
      <c r="F520">
        <v>2283.3970403888043</v>
      </c>
    </row>
    <row r="521" spans="5:6" x14ac:dyDescent="0.35">
      <c r="E521">
        <v>520</v>
      </c>
      <c r="F521">
        <v>-4779.7971184006428</v>
      </c>
    </row>
    <row r="522" spans="5:6" x14ac:dyDescent="0.35">
      <c r="E522">
        <v>521</v>
      </c>
      <c r="F522">
        <v>1057.742158394866</v>
      </c>
    </row>
    <row r="523" spans="5:6" x14ac:dyDescent="0.35">
      <c r="E523">
        <v>522</v>
      </c>
      <c r="F523">
        <v>5547.9001759362618</v>
      </c>
    </row>
    <row r="524" spans="5:6" x14ac:dyDescent="0.35">
      <c r="E524">
        <v>523</v>
      </c>
      <c r="F524">
        <v>-10252.775546555768</v>
      </c>
    </row>
    <row r="525" spans="5:6" x14ac:dyDescent="0.35">
      <c r="E525">
        <v>524</v>
      </c>
      <c r="F525">
        <v>9743.454063750045</v>
      </c>
    </row>
    <row r="526" spans="5:6" x14ac:dyDescent="0.35">
      <c r="E526">
        <v>525</v>
      </c>
      <c r="F526">
        <v>-3475.3280950633343</v>
      </c>
    </row>
    <row r="527" spans="5:6" x14ac:dyDescent="0.35">
      <c r="E527">
        <v>526</v>
      </c>
      <c r="F527">
        <v>-569.3689270166692</v>
      </c>
    </row>
    <row r="528" spans="5:6" x14ac:dyDescent="0.35">
      <c r="E528">
        <v>527</v>
      </c>
      <c r="F528">
        <v>-14577.168035623647</v>
      </c>
    </row>
    <row r="529" spans="5:6" x14ac:dyDescent="0.35">
      <c r="E529">
        <v>528</v>
      </c>
      <c r="F529">
        <v>2574.7443158830893</v>
      </c>
    </row>
    <row r="530" spans="5:6" x14ac:dyDescent="0.35">
      <c r="E530">
        <v>529</v>
      </c>
      <c r="F530">
        <v>6146.0926614874043</v>
      </c>
    </row>
    <row r="531" spans="5:6" x14ac:dyDescent="0.35">
      <c r="E531">
        <v>530</v>
      </c>
      <c r="F531">
        <v>-1697.4487125643645</v>
      </c>
    </row>
    <row r="532" spans="5:6" x14ac:dyDescent="0.35">
      <c r="E532">
        <v>531</v>
      </c>
      <c r="F532">
        <v>-25825.607937743152</v>
      </c>
    </row>
    <row r="533" spans="5:6" x14ac:dyDescent="0.35">
      <c r="E533">
        <v>532</v>
      </c>
      <c r="F533">
        <v>-20003.315358097632</v>
      </c>
    </row>
    <row r="534" spans="5:6" x14ac:dyDescent="0.35">
      <c r="E534">
        <v>533</v>
      </c>
      <c r="F534">
        <v>6419.1531303306774</v>
      </c>
    </row>
    <row r="535" spans="5:6" x14ac:dyDescent="0.35">
      <c r="E535">
        <v>534</v>
      </c>
      <c r="F535">
        <v>8394.9470567728786</v>
      </c>
    </row>
    <row r="536" spans="5:6" x14ac:dyDescent="0.35">
      <c r="E536">
        <v>535</v>
      </c>
      <c r="F536">
        <v>-7956.5684577887623</v>
      </c>
    </row>
    <row r="537" spans="5:6" x14ac:dyDescent="0.35">
      <c r="E537">
        <v>536</v>
      </c>
      <c r="F537">
        <v>-988.76258286034704</v>
      </c>
    </row>
    <row r="538" spans="5:6" x14ac:dyDescent="0.35">
      <c r="E538">
        <v>537</v>
      </c>
      <c r="F538">
        <v>-102.85053638269505</v>
      </c>
    </row>
    <row r="539" spans="5:6" x14ac:dyDescent="0.35">
      <c r="E539">
        <v>538</v>
      </c>
      <c r="F539">
        <v>-7309.8399104391292</v>
      </c>
    </row>
    <row r="540" spans="5:6" x14ac:dyDescent="0.35">
      <c r="E540">
        <v>539</v>
      </c>
      <c r="F540">
        <v>-392.57794378743768</v>
      </c>
    </row>
    <row r="541" spans="5:6" x14ac:dyDescent="0.35">
      <c r="E541">
        <v>540</v>
      </c>
      <c r="F541">
        <v>-3450.8888639410161</v>
      </c>
    </row>
    <row r="542" spans="5:6" x14ac:dyDescent="0.35">
      <c r="E542">
        <v>541</v>
      </c>
      <c r="F542">
        <v>4773.410708430526</v>
      </c>
    </row>
    <row r="543" spans="5:6" x14ac:dyDescent="0.35">
      <c r="E543">
        <v>542</v>
      </c>
      <c r="F543">
        <v>4893.8407813856747</v>
      </c>
    </row>
    <row r="544" spans="5:6" x14ac:dyDescent="0.35">
      <c r="E544">
        <v>543</v>
      </c>
      <c r="F544">
        <v>3113.7174712211272</v>
      </c>
    </row>
    <row r="545" spans="5:6" x14ac:dyDescent="0.35">
      <c r="E545">
        <v>544</v>
      </c>
      <c r="F545">
        <v>8773.858498789079</v>
      </c>
    </row>
    <row r="546" spans="5:6" x14ac:dyDescent="0.35">
      <c r="E546">
        <v>545</v>
      </c>
      <c r="F546">
        <v>70.469366719534989</v>
      </c>
    </row>
    <row r="547" spans="5:6" x14ac:dyDescent="0.35">
      <c r="E547">
        <v>546</v>
      </c>
      <c r="F547">
        <v>8373.0537473836739</v>
      </c>
    </row>
    <row r="548" spans="5:6" x14ac:dyDescent="0.35">
      <c r="E548">
        <v>547</v>
      </c>
      <c r="F548">
        <v>-5609.3578063555778</v>
      </c>
    </row>
    <row r="549" spans="5:6" x14ac:dyDescent="0.35">
      <c r="E549">
        <v>548</v>
      </c>
      <c r="F549">
        <v>13448.849298691508</v>
      </c>
    </row>
    <row r="550" spans="5:6" x14ac:dyDescent="0.35">
      <c r="E550">
        <v>549</v>
      </c>
      <c r="F550">
        <v>-10788.670672922875</v>
      </c>
    </row>
    <row r="551" spans="5:6" x14ac:dyDescent="0.35">
      <c r="E551">
        <v>550</v>
      </c>
      <c r="F551">
        <v>6598.2023847652727</v>
      </c>
    </row>
    <row r="552" spans="5:6" x14ac:dyDescent="0.35">
      <c r="E552">
        <v>551</v>
      </c>
      <c r="F552">
        <v>-3677.4321479797222</v>
      </c>
    </row>
    <row r="553" spans="5:6" x14ac:dyDescent="0.35">
      <c r="E553">
        <v>552</v>
      </c>
      <c r="F553">
        <v>969.13785976112422</v>
      </c>
    </row>
    <row r="554" spans="5:6" x14ac:dyDescent="0.35">
      <c r="E554">
        <v>553</v>
      </c>
      <c r="F554">
        <v>-5049.0204656219803</v>
      </c>
    </row>
    <row r="555" spans="5:6" x14ac:dyDescent="0.35">
      <c r="E555">
        <v>554</v>
      </c>
      <c r="F555">
        <v>16019.000659232857</v>
      </c>
    </row>
    <row r="556" spans="5:6" x14ac:dyDescent="0.35">
      <c r="E556">
        <v>555</v>
      </c>
      <c r="F556">
        <v>-17238.60323903797</v>
      </c>
    </row>
    <row r="557" spans="5:6" x14ac:dyDescent="0.35">
      <c r="E557">
        <v>556</v>
      </c>
      <c r="F557">
        <v>-1930.6031924475421</v>
      </c>
    </row>
    <row r="558" spans="5:6" x14ac:dyDescent="0.35">
      <c r="E558">
        <v>557</v>
      </c>
      <c r="F558">
        <v>-7156.3599518726733</v>
      </c>
    </row>
    <row r="559" spans="5:6" x14ac:dyDescent="0.35">
      <c r="E559">
        <v>558</v>
      </c>
      <c r="F559">
        <v>405.89814444429584</v>
      </c>
    </row>
    <row r="560" spans="5:6" x14ac:dyDescent="0.35">
      <c r="E560">
        <v>559</v>
      </c>
      <c r="F560">
        <v>-1237.7386899292496</v>
      </c>
    </row>
    <row r="561" spans="5:6" x14ac:dyDescent="0.35">
      <c r="E561">
        <v>560</v>
      </c>
      <c r="F561">
        <v>-2697.1337417492191</v>
      </c>
    </row>
    <row r="562" spans="5:6" x14ac:dyDescent="0.35">
      <c r="E562">
        <v>561</v>
      </c>
      <c r="F562">
        <v>-277.5041653382375</v>
      </c>
    </row>
    <row r="563" spans="5:6" x14ac:dyDescent="0.35">
      <c r="E563">
        <v>562</v>
      </c>
      <c r="F563">
        <v>-13685.005379764276</v>
      </c>
    </row>
    <row r="564" spans="5:6" x14ac:dyDescent="0.35">
      <c r="E564">
        <v>563</v>
      </c>
      <c r="F564">
        <v>5052.2169381747763</v>
      </c>
    </row>
    <row r="565" spans="5:6" x14ac:dyDescent="0.35">
      <c r="E565">
        <v>564</v>
      </c>
      <c r="F565">
        <v>5887.5842760809355</v>
      </c>
    </row>
    <row r="566" spans="5:6" x14ac:dyDescent="0.35">
      <c r="E566">
        <v>565</v>
      </c>
      <c r="F566">
        <v>-6134.1320157789405</v>
      </c>
    </row>
    <row r="567" spans="5:6" x14ac:dyDescent="0.35">
      <c r="E567">
        <v>566</v>
      </c>
      <c r="F567">
        <v>4677.7019784991362</v>
      </c>
    </row>
    <row r="568" spans="5:6" x14ac:dyDescent="0.35">
      <c r="E568">
        <v>567</v>
      </c>
      <c r="F568">
        <v>-4757.7158031659937</v>
      </c>
    </row>
    <row r="569" spans="5:6" x14ac:dyDescent="0.35">
      <c r="E569">
        <v>568</v>
      </c>
      <c r="F569">
        <v>-5396.1273617538654</v>
      </c>
    </row>
    <row r="570" spans="5:6" x14ac:dyDescent="0.35">
      <c r="E570">
        <v>569</v>
      </c>
      <c r="F570">
        <v>1918.6130772725955</v>
      </c>
    </row>
    <row r="571" spans="5:6" x14ac:dyDescent="0.35">
      <c r="E571">
        <v>570</v>
      </c>
      <c r="F571">
        <v>-6251.8460296512785</v>
      </c>
    </row>
    <row r="572" spans="5:6" x14ac:dyDescent="0.35">
      <c r="E572">
        <v>571</v>
      </c>
      <c r="F572">
        <v>4468.8190123698787</v>
      </c>
    </row>
    <row r="573" spans="5:6" x14ac:dyDescent="0.35">
      <c r="E573">
        <v>572</v>
      </c>
      <c r="F573">
        <v>-930.1685139182307</v>
      </c>
    </row>
    <row r="574" spans="5:6" x14ac:dyDescent="0.35">
      <c r="E574">
        <v>573</v>
      </c>
      <c r="F574">
        <v>-5583.562652997628</v>
      </c>
    </row>
    <row r="575" spans="5:6" x14ac:dyDescent="0.35">
      <c r="E575">
        <v>574</v>
      </c>
      <c r="F575">
        <v>-1443.6075232310961</v>
      </c>
    </row>
    <row r="576" spans="5:6" x14ac:dyDescent="0.35">
      <c r="E576">
        <v>575</v>
      </c>
      <c r="F576">
        <v>-1218.0619746309949</v>
      </c>
    </row>
    <row r="577" spans="5:6" x14ac:dyDescent="0.35">
      <c r="E577">
        <v>576</v>
      </c>
      <c r="F577">
        <v>-2115.1824166010774</v>
      </c>
    </row>
    <row r="578" spans="5:6" x14ac:dyDescent="0.35">
      <c r="E578">
        <v>577</v>
      </c>
      <c r="F578">
        <v>-2927.3802189430317</v>
      </c>
    </row>
    <row r="579" spans="5:6" x14ac:dyDescent="0.35">
      <c r="E579">
        <v>578</v>
      </c>
      <c r="F579">
        <v>1479.3784683781482</v>
      </c>
    </row>
    <row r="580" spans="5:6" x14ac:dyDescent="0.35">
      <c r="E580">
        <v>579</v>
      </c>
      <c r="F580">
        <v>5661.2440816933922</v>
      </c>
    </row>
    <row r="581" spans="5:6" x14ac:dyDescent="0.35">
      <c r="E581">
        <v>580</v>
      </c>
      <c r="F581">
        <v>886.37551784583047</v>
      </c>
    </row>
    <row r="582" spans="5:6" x14ac:dyDescent="0.35">
      <c r="E582">
        <v>581</v>
      </c>
      <c r="F582">
        <v>-6135.5854186105926</v>
      </c>
    </row>
    <row r="583" spans="5:6" x14ac:dyDescent="0.35">
      <c r="E583">
        <v>582</v>
      </c>
      <c r="F583">
        <v>1911.8186236756737</v>
      </c>
    </row>
    <row r="584" spans="5:6" x14ac:dyDescent="0.35">
      <c r="E584">
        <v>583</v>
      </c>
      <c r="F584">
        <v>-10935.483440932261</v>
      </c>
    </row>
    <row r="585" spans="5:6" x14ac:dyDescent="0.35">
      <c r="E585">
        <v>584</v>
      </c>
      <c r="F585">
        <v>1738.174150971417</v>
      </c>
    </row>
    <row r="586" spans="5:6" x14ac:dyDescent="0.35">
      <c r="E586">
        <v>585</v>
      </c>
      <c r="F586">
        <v>583.57555767805025</v>
      </c>
    </row>
    <row r="587" spans="5:6" x14ac:dyDescent="0.35">
      <c r="E587">
        <v>586</v>
      </c>
      <c r="F587">
        <v>943.76958392971767</v>
      </c>
    </row>
    <row r="588" spans="5:6" x14ac:dyDescent="0.35">
      <c r="E588">
        <v>587</v>
      </c>
      <c r="F588">
        <v>-2627.6919748389632</v>
      </c>
    </row>
    <row r="589" spans="5:6" x14ac:dyDescent="0.35">
      <c r="E589">
        <v>588</v>
      </c>
      <c r="F589">
        <v>2834.1236103777251</v>
      </c>
    </row>
    <row r="590" spans="5:6" x14ac:dyDescent="0.35">
      <c r="E590">
        <v>589</v>
      </c>
      <c r="F590">
        <v>7524.9894225926364</v>
      </c>
    </row>
    <row r="591" spans="5:6" x14ac:dyDescent="0.35">
      <c r="E591">
        <v>590</v>
      </c>
      <c r="F591">
        <v>-5827.2954796636886</v>
      </c>
    </row>
    <row r="592" spans="5:6" x14ac:dyDescent="0.35">
      <c r="E592">
        <v>591</v>
      </c>
      <c r="F592">
        <v>1796.2349959671603</v>
      </c>
    </row>
    <row r="593" spans="5:6" x14ac:dyDescent="0.35">
      <c r="E593">
        <v>592</v>
      </c>
      <c r="F593">
        <v>-5372.8717987166801</v>
      </c>
    </row>
    <row r="594" spans="5:6" x14ac:dyDescent="0.35">
      <c r="E594">
        <v>593</v>
      </c>
      <c r="F594">
        <v>2258.6765242493166</v>
      </c>
    </row>
    <row r="595" spans="5:6" x14ac:dyDescent="0.35">
      <c r="E595">
        <v>594</v>
      </c>
      <c r="F595">
        <v>-13322.742126973648</v>
      </c>
    </row>
    <row r="596" spans="5:6" x14ac:dyDescent="0.35">
      <c r="E596">
        <v>595</v>
      </c>
      <c r="F596">
        <v>5486.4600460687498</v>
      </c>
    </row>
    <row r="597" spans="5:6" x14ac:dyDescent="0.35">
      <c r="E597">
        <v>596</v>
      </c>
      <c r="F597">
        <v>-16619.844573229624</v>
      </c>
    </row>
    <row r="598" spans="5:6" x14ac:dyDescent="0.35">
      <c r="E598">
        <v>597</v>
      </c>
      <c r="F598">
        <v>-26217.149734791103</v>
      </c>
    </row>
    <row r="599" spans="5:6" x14ac:dyDescent="0.35">
      <c r="E599">
        <v>598</v>
      </c>
      <c r="F599">
        <v>-6624.1758148795143</v>
      </c>
    </row>
    <row r="600" spans="5:6" x14ac:dyDescent="0.35">
      <c r="E600">
        <v>599</v>
      </c>
      <c r="F600">
        <v>1507.4150515348997</v>
      </c>
    </row>
    <row r="601" spans="5:6" x14ac:dyDescent="0.35">
      <c r="E601">
        <v>600</v>
      </c>
      <c r="F601">
        <v>-1064.895687323266</v>
      </c>
    </row>
    <row r="602" spans="5:6" x14ac:dyDescent="0.35">
      <c r="E602">
        <v>601</v>
      </c>
      <c r="F602">
        <v>6635.1437893770353</v>
      </c>
    </row>
    <row r="603" spans="5:6" x14ac:dyDescent="0.35">
      <c r="E603">
        <v>602</v>
      </c>
      <c r="F603">
        <v>3294.17654319547</v>
      </c>
    </row>
    <row r="604" spans="5:6" x14ac:dyDescent="0.35">
      <c r="E604">
        <v>603</v>
      </c>
      <c r="F604">
        <v>3887.1270033691721</v>
      </c>
    </row>
    <row r="605" spans="5:6" x14ac:dyDescent="0.35">
      <c r="E605">
        <v>604</v>
      </c>
      <c r="F605">
        <v>79.94610121520968</v>
      </c>
    </row>
    <row r="606" spans="5:6" x14ac:dyDescent="0.35">
      <c r="E606">
        <v>605</v>
      </c>
      <c r="F606">
        <v>-6660.5932158325686</v>
      </c>
    </row>
    <row r="607" spans="5:6" x14ac:dyDescent="0.35">
      <c r="E607">
        <v>606</v>
      </c>
      <c r="F607">
        <v>8778.9013824924914</v>
      </c>
    </row>
    <row r="608" spans="5:6" x14ac:dyDescent="0.35">
      <c r="E608">
        <v>607</v>
      </c>
      <c r="F608">
        <v>-3213.5127860291032</v>
      </c>
    </row>
    <row r="609" spans="5:6" x14ac:dyDescent="0.35">
      <c r="E609">
        <v>608</v>
      </c>
      <c r="F609">
        <v>-417.84908826259925</v>
      </c>
    </row>
    <row r="610" spans="5:6" x14ac:dyDescent="0.35">
      <c r="E610">
        <v>609</v>
      </c>
      <c r="F610">
        <v>2893.1794028928998</v>
      </c>
    </row>
    <row r="611" spans="5:6" x14ac:dyDescent="0.35">
      <c r="E611">
        <v>610</v>
      </c>
      <c r="F611">
        <v>12916.49751319238</v>
      </c>
    </row>
    <row r="612" spans="5:6" x14ac:dyDescent="0.35">
      <c r="E612">
        <v>611</v>
      </c>
      <c r="F612">
        <v>-4165.816838620929</v>
      </c>
    </row>
    <row r="613" spans="5:6" x14ac:dyDescent="0.35">
      <c r="E613">
        <v>612</v>
      </c>
      <c r="F613">
        <v>-13718.517973963988</v>
      </c>
    </row>
    <row r="614" spans="5:6" x14ac:dyDescent="0.35">
      <c r="E614">
        <v>613</v>
      </c>
      <c r="F614">
        <v>-7094.8279482849648</v>
      </c>
    </row>
    <row r="615" spans="5:6" x14ac:dyDescent="0.35">
      <c r="E615">
        <v>614</v>
      </c>
      <c r="F615">
        <v>-2978.6335813259357</v>
      </c>
    </row>
    <row r="616" spans="5:6" x14ac:dyDescent="0.35">
      <c r="E616">
        <v>615</v>
      </c>
      <c r="F616">
        <v>-1303.6873905719044</v>
      </c>
    </row>
    <row r="617" spans="5:6" x14ac:dyDescent="0.35">
      <c r="E617">
        <v>616</v>
      </c>
      <c r="F617">
        <v>-5110.2528177620861</v>
      </c>
    </row>
    <row r="618" spans="5:6" x14ac:dyDescent="0.35">
      <c r="E618">
        <v>617</v>
      </c>
      <c r="F618">
        <v>-4080.7329053241483</v>
      </c>
    </row>
    <row r="619" spans="5:6" x14ac:dyDescent="0.35">
      <c r="E619">
        <v>618</v>
      </c>
      <c r="F619">
        <v>11619.541212498989</v>
      </c>
    </row>
    <row r="620" spans="5:6" x14ac:dyDescent="0.35">
      <c r="E620">
        <v>619</v>
      </c>
      <c r="F620">
        <v>-10569.055737362098</v>
      </c>
    </row>
    <row r="621" spans="5:6" x14ac:dyDescent="0.35">
      <c r="E621">
        <v>620</v>
      </c>
      <c r="F621">
        <v>5246.926795208441</v>
      </c>
    </row>
    <row r="622" spans="5:6" x14ac:dyDescent="0.35">
      <c r="E622">
        <v>621</v>
      </c>
      <c r="F622">
        <v>-3940.2768064196953</v>
      </c>
    </row>
    <row r="623" spans="5:6" x14ac:dyDescent="0.35">
      <c r="E623">
        <v>622</v>
      </c>
      <c r="F623">
        <v>-8725.449486103098</v>
      </c>
    </row>
    <row r="624" spans="5:6" x14ac:dyDescent="0.35">
      <c r="E624">
        <v>623</v>
      </c>
      <c r="F624">
        <v>6806.8166802694495</v>
      </c>
    </row>
    <row r="625" spans="5:6" x14ac:dyDescent="0.35">
      <c r="E625">
        <v>624</v>
      </c>
      <c r="F625">
        <v>-6711.5712475699456</v>
      </c>
    </row>
    <row r="626" spans="5:6" x14ac:dyDescent="0.35">
      <c r="E626">
        <v>625</v>
      </c>
      <c r="F626">
        <v>-2628.7445864601136</v>
      </c>
    </row>
    <row r="627" spans="5:6" x14ac:dyDescent="0.35">
      <c r="E627">
        <v>626</v>
      </c>
      <c r="F627">
        <v>-988.92996370239177</v>
      </c>
    </row>
    <row r="628" spans="5:6" x14ac:dyDescent="0.35">
      <c r="E628">
        <v>627</v>
      </c>
      <c r="F628">
        <v>-5888.1643397551807</v>
      </c>
    </row>
    <row r="629" spans="5:6" x14ac:dyDescent="0.35">
      <c r="E629">
        <v>628</v>
      </c>
      <c r="F629">
        <v>9117.6433097891641</v>
      </c>
    </row>
    <row r="630" spans="5:6" x14ac:dyDescent="0.35">
      <c r="E630">
        <v>629</v>
      </c>
      <c r="F630">
        <v>1112.2889339759568</v>
      </c>
    </row>
    <row r="631" spans="5:6" x14ac:dyDescent="0.35">
      <c r="E631">
        <v>630</v>
      </c>
      <c r="F631">
        <v>-8544.3656847560378</v>
      </c>
    </row>
    <row r="632" spans="5:6" x14ac:dyDescent="0.35">
      <c r="E632">
        <v>631</v>
      </c>
      <c r="F632">
        <v>-13886.912155781625</v>
      </c>
    </row>
    <row r="633" spans="5:6" x14ac:dyDescent="0.35">
      <c r="E633">
        <v>632</v>
      </c>
      <c r="F633">
        <v>-16166.129133340719</v>
      </c>
    </row>
    <row r="634" spans="5:6" x14ac:dyDescent="0.35">
      <c r="E634">
        <v>633</v>
      </c>
      <c r="F634">
        <v>-6644.9001328445183</v>
      </c>
    </row>
    <row r="635" spans="5:6" x14ac:dyDescent="0.35">
      <c r="E635">
        <v>634</v>
      </c>
      <c r="F635">
        <v>3948.913140970908</v>
      </c>
    </row>
    <row r="636" spans="5:6" x14ac:dyDescent="0.35">
      <c r="E636">
        <v>635</v>
      </c>
      <c r="F636">
        <v>646.38102140973729</v>
      </c>
    </row>
    <row r="637" spans="5:6" x14ac:dyDescent="0.35">
      <c r="E637">
        <v>636</v>
      </c>
      <c r="F637">
        <v>-12017.704108515009</v>
      </c>
    </row>
    <row r="638" spans="5:6" x14ac:dyDescent="0.35">
      <c r="E638">
        <v>637</v>
      </c>
      <c r="F638">
        <v>-4645.3133680051233</v>
      </c>
    </row>
    <row r="639" spans="5:6" x14ac:dyDescent="0.35">
      <c r="E639">
        <v>638</v>
      </c>
      <c r="F639">
        <v>-3647.0862926635455</v>
      </c>
    </row>
    <row r="640" spans="5:6" x14ac:dyDescent="0.35">
      <c r="E640">
        <v>639</v>
      </c>
      <c r="F640">
        <v>-813.53515542257276</v>
      </c>
    </row>
    <row r="641" spans="5:6" x14ac:dyDescent="0.35">
      <c r="E641">
        <v>640</v>
      </c>
      <c r="F641">
        <v>11159.9323735901</v>
      </c>
    </row>
    <row r="642" spans="5:6" x14ac:dyDescent="0.35">
      <c r="E642">
        <v>641</v>
      </c>
      <c r="F642">
        <v>7382.1042402134735</v>
      </c>
    </row>
    <row r="643" spans="5:6" x14ac:dyDescent="0.35">
      <c r="E643">
        <v>642</v>
      </c>
      <c r="F643">
        <v>3689.1436587395642</v>
      </c>
    </row>
    <row r="644" spans="5:6" x14ac:dyDescent="0.35">
      <c r="E644">
        <v>643</v>
      </c>
      <c r="F644">
        <v>-3890.4145555947639</v>
      </c>
    </row>
    <row r="645" spans="5:6" x14ac:dyDescent="0.35">
      <c r="E645">
        <v>644</v>
      </c>
      <c r="F645">
        <v>3759.6204196588769</v>
      </c>
    </row>
    <row r="646" spans="5:6" x14ac:dyDescent="0.35">
      <c r="E646">
        <v>645</v>
      </c>
      <c r="F646">
        <v>1728.6292859471537</v>
      </c>
    </row>
    <row r="647" spans="5:6" x14ac:dyDescent="0.35">
      <c r="E647">
        <v>646</v>
      </c>
      <c r="F647">
        <v>14567.18171326708</v>
      </c>
    </row>
    <row r="648" spans="5:6" x14ac:dyDescent="0.35">
      <c r="E648">
        <v>647</v>
      </c>
      <c r="F648">
        <v>-8822.650465832965</v>
      </c>
    </row>
    <row r="649" spans="5:6" x14ac:dyDescent="0.35">
      <c r="E649">
        <v>648</v>
      </c>
      <c r="F649">
        <v>14922.946975679297</v>
      </c>
    </row>
    <row r="650" spans="5:6" x14ac:dyDescent="0.35">
      <c r="E650">
        <v>649</v>
      </c>
      <c r="F650">
        <v>-3120.6724137805631</v>
      </c>
    </row>
    <row r="651" spans="5:6" x14ac:dyDescent="0.35">
      <c r="E651">
        <v>650</v>
      </c>
      <c r="F651">
        <v>5068.3643082513736</v>
      </c>
    </row>
    <row r="652" spans="5:6" x14ac:dyDescent="0.35">
      <c r="E652">
        <v>651</v>
      </c>
      <c r="F652">
        <v>-1120.7694767961282</v>
      </c>
    </row>
    <row r="653" spans="5:6" x14ac:dyDescent="0.35">
      <c r="E653">
        <v>652</v>
      </c>
      <c r="F653">
        <v>6140.8944742368985</v>
      </c>
    </row>
    <row r="654" spans="5:6" x14ac:dyDescent="0.35">
      <c r="E654">
        <v>653</v>
      </c>
      <c r="F654">
        <v>5328.5358304884339</v>
      </c>
    </row>
    <row r="655" spans="5:6" x14ac:dyDescent="0.35">
      <c r="E655">
        <v>654</v>
      </c>
      <c r="F655">
        <v>-12966.655751265</v>
      </c>
    </row>
    <row r="656" spans="5:6" x14ac:dyDescent="0.35">
      <c r="E656">
        <v>655</v>
      </c>
      <c r="F656">
        <v>-6443.7554907718168</v>
      </c>
    </row>
    <row r="657" spans="5:6" x14ac:dyDescent="0.35">
      <c r="E657">
        <v>656</v>
      </c>
      <c r="F657">
        <v>-2921.9873679944449</v>
      </c>
    </row>
    <row r="658" spans="5:6" x14ac:dyDescent="0.35">
      <c r="E658">
        <v>657</v>
      </c>
      <c r="F658">
        <v>-1966.1727978479539</v>
      </c>
    </row>
    <row r="659" spans="5:6" x14ac:dyDescent="0.35">
      <c r="E659">
        <v>658</v>
      </c>
      <c r="F659">
        <v>-8247.8930227453966</v>
      </c>
    </row>
    <row r="660" spans="5:6" x14ac:dyDescent="0.35">
      <c r="E660">
        <v>659</v>
      </c>
      <c r="F660">
        <v>1290.1260197375957</v>
      </c>
    </row>
    <row r="661" spans="5:6" x14ac:dyDescent="0.35">
      <c r="E661">
        <v>660</v>
      </c>
      <c r="F661">
        <v>478.95283301287958</v>
      </c>
    </row>
    <row r="662" spans="5:6" x14ac:dyDescent="0.35">
      <c r="E662">
        <v>661</v>
      </c>
      <c r="F662">
        <v>4906.8943486352427</v>
      </c>
    </row>
    <row r="663" spans="5:6" x14ac:dyDescent="0.35">
      <c r="E663">
        <v>662</v>
      </c>
      <c r="F663">
        <v>2331.7712851732103</v>
      </c>
    </row>
    <row r="664" spans="5:6" x14ac:dyDescent="0.35">
      <c r="E664">
        <v>663</v>
      </c>
      <c r="F664">
        <v>-165.51013246687111</v>
      </c>
    </row>
    <row r="665" spans="5:6" x14ac:dyDescent="0.35">
      <c r="E665">
        <v>664</v>
      </c>
      <c r="F665">
        <v>-3371.2666035575521</v>
      </c>
    </row>
    <row r="666" spans="5:6" x14ac:dyDescent="0.35">
      <c r="E666">
        <v>665</v>
      </c>
      <c r="F666">
        <v>-12994.292663664048</v>
      </c>
    </row>
    <row r="667" spans="5:6" x14ac:dyDescent="0.35">
      <c r="E667">
        <v>666</v>
      </c>
      <c r="F667">
        <v>-3613.8607500100934</v>
      </c>
    </row>
    <row r="668" spans="5:6" x14ac:dyDescent="0.35">
      <c r="E668">
        <v>667</v>
      </c>
      <c r="F668">
        <v>-1259.9033483361748</v>
      </c>
    </row>
    <row r="669" spans="5:6" x14ac:dyDescent="0.35">
      <c r="E669">
        <v>668</v>
      </c>
      <c r="F669">
        <v>2857.2881185905862</v>
      </c>
    </row>
    <row r="670" spans="5:6" x14ac:dyDescent="0.35">
      <c r="E670">
        <v>669</v>
      </c>
      <c r="F670">
        <v>-3209.6505028065612</v>
      </c>
    </row>
    <row r="671" spans="5:6" x14ac:dyDescent="0.35">
      <c r="E671">
        <v>670</v>
      </c>
      <c r="F671">
        <v>1134.1699976305358</v>
      </c>
    </row>
    <row r="672" spans="5:6" x14ac:dyDescent="0.35">
      <c r="E672">
        <v>671</v>
      </c>
      <c r="F672">
        <v>5378.2888675051472</v>
      </c>
    </row>
    <row r="673" spans="5:6" x14ac:dyDescent="0.35">
      <c r="E673">
        <v>672</v>
      </c>
      <c r="F673">
        <v>-389.44823083326253</v>
      </c>
    </row>
    <row r="674" spans="5:6" x14ac:dyDescent="0.35">
      <c r="E674">
        <v>673</v>
      </c>
      <c r="F674">
        <v>-7375.7088588218176</v>
      </c>
    </row>
    <row r="675" spans="5:6" x14ac:dyDescent="0.35">
      <c r="E675">
        <v>674</v>
      </c>
      <c r="F675">
        <v>-4412.0425714601224</v>
      </c>
    </row>
    <row r="676" spans="5:6" x14ac:dyDescent="0.35">
      <c r="E676">
        <v>675</v>
      </c>
      <c r="F676">
        <v>-629.79215876066155</v>
      </c>
    </row>
    <row r="677" spans="5:6" x14ac:dyDescent="0.35">
      <c r="E677">
        <v>676</v>
      </c>
      <c r="F677">
        <v>-1232.927449503122</v>
      </c>
    </row>
    <row r="678" spans="5:6" x14ac:dyDescent="0.35">
      <c r="E678">
        <v>677</v>
      </c>
      <c r="F678">
        <v>-3690.467041239418</v>
      </c>
    </row>
    <row r="679" spans="5:6" x14ac:dyDescent="0.35">
      <c r="E679">
        <v>678</v>
      </c>
      <c r="F679">
        <v>-5169.7527103926777</v>
      </c>
    </row>
    <row r="680" spans="5:6" x14ac:dyDescent="0.35">
      <c r="E680">
        <v>679</v>
      </c>
      <c r="F680">
        <v>5266.2075319618525</v>
      </c>
    </row>
    <row r="681" spans="5:6" x14ac:dyDescent="0.35">
      <c r="E681">
        <v>680</v>
      </c>
      <c r="F681">
        <v>937.77690208655793</v>
      </c>
    </row>
    <row r="682" spans="5:6" x14ac:dyDescent="0.35">
      <c r="E682">
        <v>681</v>
      </c>
      <c r="F682">
        <v>-1402.5094878965785</v>
      </c>
    </row>
    <row r="683" spans="5:6" x14ac:dyDescent="0.35">
      <c r="E683">
        <v>682</v>
      </c>
      <c r="F683">
        <v>-1743.9369179725911</v>
      </c>
    </row>
    <row r="684" spans="5:6" x14ac:dyDescent="0.35">
      <c r="E684">
        <v>683</v>
      </c>
      <c r="F684">
        <v>778.88802122836489</v>
      </c>
    </row>
    <row r="685" spans="5:6" x14ac:dyDescent="0.35">
      <c r="E685">
        <v>684</v>
      </c>
      <c r="F685">
        <v>-4820.793005986864</v>
      </c>
    </row>
    <row r="686" spans="5:6" x14ac:dyDescent="0.35">
      <c r="E686">
        <v>685</v>
      </c>
      <c r="F686">
        <v>5764.2370856818525</v>
      </c>
    </row>
    <row r="687" spans="5:6" x14ac:dyDescent="0.35">
      <c r="E687">
        <v>686</v>
      </c>
      <c r="F687">
        <v>-32313.489101528823</v>
      </c>
    </row>
    <row r="688" spans="5:6" x14ac:dyDescent="0.35">
      <c r="E688">
        <v>687</v>
      </c>
      <c r="F688">
        <v>9279.6120220773137</v>
      </c>
    </row>
    <row r="689" spans="5:6" x14ac:dyDescent="0.35">
      <c r="E689">
        <v>688</v>
      </c>
      <c r="F689">
        <v>-2705.9099354274404</v>
      </c>
    </row>
    <row r="690" spans="5:6" x14ac:dyDescent="0.35">
      <c r="E690">
        <v>689</v>
      </c>
      <c r="F690">
        <v>838.21142564396723</v>
      </c>
    </row>
    <row r="691" spans="5:6" x14ac:dyDescent="0.35">
      <c r="E691">
        <v>690</v>
      </c>
      <c r="F691">
        <v>-1971.6190113842586</v>
      </c>
    </row>
    <row r="692" spans="5:6" x14ac:dyDescent="0.35">
      <c r="E692">
        <v>691</v>
      </c>
      <c r="F692">
        <v>-4316.6809669361392</v>
      </c>
    </row>
    <row r="693" spans="5:6" x14ac:dyDescent="0.35">
      <c r="E693">
        <v>692</v>
      </c>
      <c r="F693">
        <v>3578.6986084243013</v>
      </c>
    </row>
    <row r="694" spans="5:6" x14ac:dyDescent="0.35">
      <c r="E694">
        <v>693</v>
      </c>
      <c r="F694">
        <v>827.3598276067404</v>
      </c>
    </row>
    <row r="695" spans="5:6" x14ac:dyDescent="0.35">
      <c r="E695">
        <v>694</v>
      </c>
      <c r="F695">
        <v>15422.164157160616</v>
      </c>
    </row>
    <row r="696" spans="5:6" x14ac:dyDescent="0.35">
      <c r="E696">
        <v>695</v>
      </c>
      <c r="F696">
        <v>6758.5372902227173</v>
      </c>
    </row>
    <row r="697" spans="5:6" x14ac:dyDescent="0.35">
      <c r="E697">
        <v>696</v>
      </c>
      <c r="F697">
        <v>3646.8078697548171</v>
      </c>
    </row>
    <row r="698" spans="5:6" x14ac:dyDescent="0.35">
      <c r="E698">
        <v>697</v>
      </c>
      <c r="F698">
        <v>4333.3339742939424</v>
      </c>
    </row>
    <row r="699" spans="5:6" x14ac:dyDescent="0.35">
      <c r="E699">
        <v>698</v>
      </c>
      <c r="F699">
        <v>6902.7095007156422</v>
      </c>
    </row>
    <row r="700" spans="5:6" x14ac:dyDescent="0.35">
      <c r="E700">
        <v>699</v>
      </c>
      <c r="F700">
        <v>-7680.4223495641381</v>
      </c>
    </row>
    <row r="701" spans="5:6" x14ac:dyDescent="0.35">
      <c r="E701">
        <v>700</v>
      </c>
      <c r="F701">
        <v>-5497.5804916920715</v>
      </c>
    </row>
    <row r="702" spans="5:6" x14ac:dyDescent="0.35">
      <c r="E702">
        <v>701</v>
      </c>
      <c r="F702">
        <v>5568.8900503249706</v>
      </c>
    </row>
    <row r="703" spans="5:6" x14ac:dyDescent="0.35">
      <c r="E703">
        <v>702</v>
      </c>
      <c r="F703">
        <v>-12178.080005971076</v>
      </c>
    </row>
    <row r="704" spans="5:6" x14ac:dyDescent="0.35">
      <c r="E704">
        <v>703</v>
      </c>
      <c r="F704">
        <v>-6023.5688948604948</v>
      </c>
    </row>
    <row r="705" spans="5:6" x14ac:dyDescent="0.35">
      <c r="E705">
        <v>704</v>
      </c>
      <c r="F705">
        <v>-1844.5626702852096</v>
      </c>
    </row>
    <row r="706" spans="5:6" x14ac:dyDescent="0.35">
      <c r="E706">
        <v>705</v>
      </c>
      <c r="F706">
        <v>17.102611362026604</v>
      </c>
    </row>
    <row r="707" spans="5:6" x14ac:dyDescent="0.35">
      <c r="E707">
        <v>706</v>
      </c>
      <c r="F707">
        <v>-4569.1224920419045</v>
      </c>
    </row>
    <row r="708" spans="5:6" x14ac:dyDescent="0.35">
      <c r="E708">
        <v>707</v>
      </c>
      <c r="F708">
        <v>-1327.7988073954868</v>
      </c>
    </row>
    <row r="709" spans="5:6" x14ac:dyDescent="0.35">
      <c r="E709">
        <v>708</v>
      </c>
      <c r="F709">
        <v>-2758.5047268626681</v>
      </c>
    </row>
    <row r="710" spans="5:6" x14ac:dyDescent="0.35">
      <c r="E710">
        <v>709</v>
      </c>
      <c r="F710">
        <v>-7018.7985499972365</v>
      </c>
    </row>
    <row r="711" spans="5:6" x14ac:dyDescent="0.35">
      <c r="E711">
        <v>710</v>
      </c>
      <c r="F711">
        <v>6975.799323963889</v>
      </c>
    </row>
    <row r="712" spans="5:6" x14ac:dyDescent="0.35">
      <c r="E712">
        <v>711</v>
      </c>
      <c r="F712">
        <v>-6035.8239438612936</v>
      </c>
    </row>
    <row r="713" spans="5:6" x14ac:dyDescent="0.35">
      <c r="E713">
        <v>712</v>
      </c>
      <c r="F713">
        <v>3044.505615744471</v>
      </c>
    </row>
    <row r="714" spans="5:6" x14ac:dyDescent="0.35">
      <c r="E714">
        <v>713</v>
      </c>
      <c r="F714">
        <v>16020.683288900116</v>
      </c>
    </row>
    <row r="715" spans="5:6" x14ac:dyDescent="0.35">
      <c r="E715">
        <v>714</v>
      </c>
      <c r="F715">
        <v>-3821.4945949265411</v>
      </c>
    </row>
    <row r="716" spans="5:6" x14ac:dyDescent="0.35">
      <c r="E716">
        <v>715</v>
      </c>
      <c r="F716">
        <v>-430.01271830253245</v>
      </c>
    </row>
    <row r="717" spans="5:6" x14ac:dyDescent="0.35">
      <c r="E717">
        <v>716</v>
      </c>
      <c r="F717">
        <v>3702.4534331711425</v>
      </c>
    </row>
    <row r="718" spans="5:6" x14ac:dyDescent="0.35">
      <c r="E718">
        <v>717</v>
      </c>
      <c r="F718">
        <v>-659.57317434511288</v>
      </c>
    </row>
    <row r="719" spans="5:6" x14ac:dyDescent="0.35">
      <c r="E719">
        <v>718</v>
      </c>
      <c r="F719">
        <v>-3997.0362293077801</v>
      </c>
    </row>
    <row r="720" spans="5:6" x14ac:dyDescent="0.35">
      <c r="E720">
        <v>719</v>
      </c>
      <c r="F720">
        <v>-1748.9109995155761</v>
      </c>
    </row>
    <row r="721" spans="5:6" x14ac:dyDescent="0.35">
      <c r="E721">
        <v>720</v>
      </c>
      <c r="F721">
        <v>-11154.52636050078</v>
      </c>
    </row>
    <row r="722" spans="5:6" x14ac:dyDescent="0.35">
      <c r="E722">
        <v>721</v>
      </c>
      <c r="F722">
        <v>4616.1584845442849</v>
      </c>
    </row>
    <row r="723" spans="5:6" x14ac:dyDescent="0.35">
      <c r="E723">
        <v>722</v>
      </c>
      <c r="F723">
        <v>-10046.948902858474</v>
      </c>
    </row>
    <row r="724" spans="5:6" x14ac:dyDescent="0.35">
      <c r="E724">
        <v>723</v>
      </c>
      <c r="F724">
        <v>138.62260194535276</v>
      </c>
    </row>
    <row r="725" spans="5:6" x14ac:dyDescent="0.35">
      <c r="E725">
        <v>724</v>
      </c>
      <c r="F725">
        <v>2395.3161053915305</v>
      </c>
    </row>
    <row r="726" spans="5:6" x14ac:dyDescent="0.35">
      <c r="E726">
        <v>725</v>
      </c>
      <c r="F726">
        <v>1675.0919582175848</v>
      </c>
    </row>
    <row r="727" spans="5:6" x14ac:dyDescent="0.35">
      <c r="E727">
        <v>726</v>
      </c>
      <c r="F727">
        <v>-3718.1565067089687</v>
      </c>
    </row>
    <row r="728" spans="5:6" x14ac:dyDescent="0.35">
      <c r="E728">
        <v>727</v>
      </c>
      <c r="F728">
        <v>-4874.7867659776894</v>
      </c>
    </row>
    <row r="729" spans="5:6" x14ac:dyDescent="0.35">
      <c r="E729">
        <v>728</v>
      </c>
      <c r="F729">
        <v>-12972.549255712831</v>
      </c>
    </row>
    <row r="730" spans="5:6" x14ac:dyDescent="0.35">
      <c r="E730">
        <v>729</v>
      </c>
      <c r="F730">
        <v>-869.13972108755206</v>
      </c>
    </row>
    <row r="731" spans="5:6" x14ac:dyDescent="0.35">
      <c r="E731">
        <v>730</v>
      </c>
      <c r="F731">
        <v>-4743.8817257911069</v>
      </c>
    </row>
    <row r="732" spans="5:6" x14ac:dyDescent="0.35">
      <c r="E732">
        <v>731</v>
      </c>
      <c r="F732">
        <v>-8035.6849501366696</v>
      </c>
    </row>
    <row r="733" spans="5:6" x14ac:dyDescent="0.35">
      <c r="E733">
        <v>732</v>
      </c>
      <c r="F733">
        <v>-5293.1457022610093</v>
      </c>
    </row>
    <row r="734" spans="5:6" x14ac:dyDescent="0.35">
      <c r="E734">
        <v>733</v>
      </c>
      <c r="F734">
        <v>-5923.0726511252915</v>
      </c>
    </row>
    <row r="735" spans="5:6" x14ac:dyDescent="0.35">
      <c r="E735">
        <v>734</v>
      </c>
      <c r="F735">
        <v>-1227.2726230170874</v>
      </c>
    </row>
    <row r="736" spans="5:6" x14ac:dyDescent="0.35">
      <c r="E736">
        <v>735</v>
      </c>
      <c r="F736">
        <v>7456.761399290659</v>
      </c>
    </row>
    <row r="737" spans="5:6" x14ac:dyDescent="0.35">
      <c r="E737">
        <v>736</v>
      </c>
      <c r="F737">
        <v>-10071.105612414402</v>
      </c>
    </row>
    <row r="738" spans="5:6" x14ac:dyDescent="0.35">
      <c r="E738">
        <v>737</v>
      </c>
      <c r="F738">
        <v>-2999.4703845329241</v>
      </c>
    </row>
    <row r="739" spans="5:6" x14ac:dyDescent="0.35">
      <c r="E739">
        <v>738</v>
      </c>
      <c r="F739">
        <v>-13484.361562072183</v>
      </c>
    </row>
    <row r="740" spans="5:6" x14ac:dyDescent="0.35">
      <c r="E740">
        <v>739</v>
      </c>
      <c r="F740">
        <v>6777.1568963756308</v>
      </c>
    </row>
    <row r="741" spans="5:6" x14ac:dyDescent="0.35">
      <c r="E741">
        <v>740</v>
      </c>
      <c r="F741">
        <v>2275.9513204902751</v>
      </c>
    </row>
    <row r="742" spans="5:6" x14ac:dyDescent="0.35">
      <c r="E742">
        <v>741</v>
      </c>
      <c r="F742">
        <v>6887.951996531061</v>
      </c>
    </row>
    <row r="743" spans="5:6" x14ac:dyDescent="0.35">
      <c r="E743">
        <v>742</v>
      </c>
      <c r="F743">
        <v>-4632.6654557586571</v>
      </c>
    </row>
    <row r="744" spans="5:6" x14ac:dyDescent="0.35">
      <c r="E744">
        <v>743</v>
      </c>
      <c r="F744">
        <v>10487.932522921295</v>
      </c>
    </row>
    <row r="745" spans="5:6" x14ac:dyDescent="0.35">
      <c r="E745">
        <v>744</v>
      </c>
      <c r="F745">
        <v>-240.72491802378636</v>
      </c>
    </row>
    <row r="746" spans="5:6" x14ac:dyDescent="0.35">
      <c r="E746">
        <v>745</v>
      </c>
      <c r="F746">
        <v>-4503.4823153975804</v>
      </c>
    </row>
    <row r="747" spans="5:6" x14ac:dyDescent="0.35">
      <c r="E747">
        <v>746</v>
      </c>
      <c r="F747">
        <v>-9730.7384086709299</v>
      </c>
    </row>
    <row r="748" spans="5:6" x14ac:dyDescent="0.35">
      <c r="E748">
        <v>747</v>
      </c>
      <c r="F748">
        <v>2351.3733534312173</v>
      </c>
    </row>
    <row r="749" spans="5:6" x14ac:dyDescent="0.35">
      <c r="E749">
        <v>748</v>
      </c>
      <c r="F749">
        <v>-4827.9104570323761</v>
      </c>
    </row>
    <row r="750" spans="5:6" x14ac:dyDescent="0.35">
      <c r="E750">
        <v>749</v>
      </c>
      <c r="F750">
        <v>4386.337745125551</v>
      </c>
    </row>
    <row r="751" spans="5:6" x14ac:dyDescent="0.35">
      <c r="E751">
        <v>750</v>
      </c>
      <c r="F751">
        <v>-8914.8970508234452</v>
      </c>
    </row>
    <row r="752" spans="5:6" x14ac:dyDescent="0.35">
      <c r="E752">
        <v>751</v>
      </c>
      <c r="F752">
        <v>-5776.5454132121686</v>
      </c>
    </row>
    <row r="753" spans="5:6" x14ac:dyDescent="0.35">
      <c r="E753">
        <v>752</v>
      </c>
      <c r="F753">
        <v>-11010.113552007509</v>
      </c>
    </row>
    <row r="754" spans="5:6" x14ac:dyDescent="0.35">
      <c r="E754">
        <v>753</v>
      </c>
      <c r="F754">
        <v>22899.917018414981</v>
      </c>
    </row>
    <row r="755" spans="5:6" x14ac:dyDescent="0.35">
      <c r="E755">
        <v>754</v>
      </c>
      <c r="F755">
        <v>-1135.0982072559407</v>
      </c>
    </row>
    <row r="756" spans="5:6" x14ac:dyDescent="0.35">
      <c r="E756">
        <v>755</v>
      </c>
      <c r="F756">
        <v>-1989.8331205229915</v>
      </c>
    </row>
    <row r="757" spans="5:6" x14ac:dyDescent="0.35">
      <c r="E757">
        <v>756</v>
      </c>
      <c r="F757">
        <v>-589.90410817129975</v>
      </c>
    </row>
    <row r="758" spans="5:6" x14ac:dyDescent="0.35">
      <c r="E758">
        <v>757</v>
      </c>
      <c r="F758">
        <v>-5683.3473675027344</v>
      </c>
    </row>
    <row r="759" spans="5:6" x14ac:dyDescent="0.35">
      <c r="E759">
        <v>758</v>
      </c>
      <c r="F759">
        <v>1948.9417928702924</v>
      </c>
    </row>
    <row r="760" spans="5:6" x14ac:dyDescent="0.35">
      <c r="E760">
        <v>759</v>
      </c>
      <c r="F760">
        <v>-11202.539184281601</v>
      </c>
    </row>
    <row r="761" spans="5:6" x14ac:dyDescent="0.35">
      <c r="E761">
        <v>760</v>
      </c>
      <c r="F761">
        <v>9151.1344231759376</v>
      </c>
    </row>
    <row r="762" spans="5:6" x14ac:dyDescent="0.35">
      <c r="E762">
        <v>761</v>
      </c>
      <c r="F762">
        <v>-8734.1600934682174</v>
      </c>
    </row>
    <row r="763" spans="5:6" x14ac:dyDescent="0.35">
      <c r="E763">
        <v>762</v>
      </c>
      <c r="F763">
        <v>4548.3257064910867</v>
      </c>
    </row>
    <row r="764" spans="5:6" x14ac:dyDescent="0.35">
      <c r="E764">
        <v>763</v>
      </c>
      <c r="F764">
        <v>-1362.8612915022532</v>
      </c>
    </row>
    <row r="765" spans="5:6" x14ac:dyDescent="0.35">
      <c r="E765">
        <v>764</v>
      </c>
      <c r="F765">
        <v>-41.741036720624024</v>
      </c>
    </row>
    <row r="766" spans="5:6" x14ac:dyDescent="0.35">
      <c r="E766">
        <v>765</v>
      </c>
      <c r="F766">
        <v>-2150.4697878023653</v>
      </c>
    </row>
    <row r="767" spans="5:6" x14ac:dyDescent="0.35">
      <c r="E767">
        <v>766</v>
      </c>
      <c r="F767">
        <v>-6106.9756922525321</v>
      </c>
    </row>
    <row r="768" spans="5:6" x14ac:dyDescent="0.35">
      <c r="E768">
        <v>767</v>
      </c>
      <c r="F768">
        <v>4978.0463753054728</v>
      </c>
    </row>
    <row r="769" spans="5:6" x14ac:dyDescent="0.35">
      <c r="E769">
        <v>768</v>
      </c>
      <c r="F769">
        <v>42.32351549743629</v>
      </c>
    </row>
    <row r="770" spans="5:6" x14ac:dyDescent="0.35">
      <c r="E770">
        <v>769</v>
      </c>
      <c r="F770">
        <v>1973.8091287266652</v>
      </c>
    </row>
    <row r="771" spans="5:6" x14ac:dyDescent="0.35">
      <c r="E771">
        <v>770</v>
      </c>
      <c r="F771">
        <v>-13274.924315346841</v>
      </c>
    </row>
    <row r="772" spans="5:6" x14ac:dyDescent="0.35">
      <c r="E772">
        <v>771</v>
      </c>
      <c r="F772">
        <v>3331.5055248548465</v>
      </c>
    </row>
    <row r="773" spans="5:6" x14ac:dyDescent="0.35">
      <c r="E773">
        <v>772</v>
      </c>
      <c r="F773">
        <v>2149.7247148102324</v>
      </c>
    </row>
    <row r="774" spans="5:6" x14ac:dyDescent="0.35">
      <c r="E774">
        <v>773</v>
      </c>
      <c r="F774">
        <v>-9671.0302568293191</v>
      </c>
    </row>
    <row r="775" spans="5:6" x14ac:dyDescent="0.35">
      <c r="E775">
        <v>774</v>
      </c>
      <c r="F775">
        <v>-5886.8029181515813</v>
      </c>
    </row>
    <row r="776" spans="5:6" x14ac:dyDescent="0.35">
      <c r="E776">
        <v>775</v>
      </c>
      <c r="F776">
        <v>1523.5050229615142</v>
      </c>
    </row>
    <row r="777" spans="5:6" x14ac:dyDescent="0.35">
      <c r="E777">
        <v>776</v>
      </c>
      <c r="F777">
        <v>-248.02463223997131</v>
      </c>
    </row>
    <row r="778" spans="5:6" x14ac:dyDescent="0.35">
      <c r="E778">
        <v>777</v>
      </c>
      <c r="F778">
        <v>-3526.2959761978746</v>
      </c>
    </row>
    <row r="779" spans="5:6" x14ac:dyDescent="0.35">
      <c r="E779">
        <v>778</v>
      </c>
      <c r="F779">
        <v>-121.0502199714756</v>
      </c>
    </row>
    <row r="780" spans="5:6" x14ac:dyDescent="0.35">
      <c r="E780">
        <v>779</v>
      </c>
      <c r="F780">
        <v>-85.558670906976332</v>
      </c>
    </row>
    <row r="781" spans="5:6" x14ac:dyDescent="0.35">
      <c r="E781">
        <v>780</v>
      </c>
      <c r="F781">
        <v>12534.645958578192</v>
      </c>
    </row>
    <row r="782" spans="5:6" x14ac:dyDescent="0.35">
      <c r="E782">
        <v>781</v>
      </c>
      <c r="F782">
        <v>4036.3778556225793</v>
      </c>
    </row>
    <row r="783" spans="5:6" x14ac:dyDescent="0.35">
      <c r="E783">
        <v>782</v>
      </c>
      <c r="F783">
        <v>-1946.9932484815508</v>
      </c>
    </row>
    <row r="784" spans="5:6" x14ac:dyDescent="0.35">
      <c r="E784">
        <v>783</v>
      </c>
      <c r="F784">
        <v>-4062.6593453191467</v>
      </c>
    </row>
    <row r="785" spans="5:6" x14ac:dyDescent="0.35">
      <c r="E785">
        <v>784</v>
      </c>
      <c r="F785">
        <v>-3344.9514957985084</v>
      </c>
    </row>
    <row r="786" spans="5:6" x14ac:dyDescent="0.35">
      <c r="E786">
        <v>785</v>
      </c>
      <c r="F786">
        <v>1169.6852230724512</v>
      </c>
    </row>
    <row r="787" spans="5:6" x14ac:dyDescent="0.35">
      <c r="E787">
        <v>786</v>
      </c>
      <c r="F787">
        <v>11075.403603476872</v>
      </c>
    </row>
    <row r="788" spans="5:6" x14ac:dyDescent="0.35">
      <c r="E788">
        <v>787</v>
      </c>
      <c r="F788">
        <v>-1381.3748858974725</v>
      </c>
    </row>
    <row r="789" spans="5:6" x14ac:dyDescent="0.35">
      <c r="E789">
        <v>788</v>
      </c>
      <c r="F789">
        <v>-14106.218502244252</v>
      </c>
    </row>
    <row r="790" spans="5:6" x14ac:dyDescent="0.35">
      <c r="E790">
        <v>789</v>
      </c>
      <c r="F790">
        <v>-3230.7074088552736</v>
      </c>
    </row>
    <row r="791" spans="5:6" x14ac:dyDescent="0.35">
      <c r="E791">
        <v>790</v>
      </c>
      <c r="F791">
        <v>3650.3233094363413</v>
      </c>
    </row>
    <row r="792" spans="5:6" x14ac:dyDescent="0.35">
      <c r="E792">
        <v>791</v>
      </c>
      <c r="F792">
        <v>-1382.4548510863738</v>
      </c>
    </row>
    <row r="793" spans="5:6" x14ac:dyDescent="0.35">
      <c r="E793">
        <v>792</v>
      </c>
      <c r="F793">
        <v>10392.872184243062</v>
      </c>
    </row>
    <row r="794" spans="5:6" x14ac:dyDescent="0.35">
      <c r="E794">
        <v>793</v>
      </c>
      <c r="F794">
        <v>17083.526620723504</v>
      </c>
    </row>
    <row r="795" spans="5:6" x14ac:dyDescent="0.35">
      <c r="E795">
        <v>794</v>
      </c>
      <c r="F795">
        <v>-3806.2140706165596</v>
      </c>
    </row>
    <row r="796" spans="5:6" x14ac:dyDescent="0.35">
      <c r="E796">
        <v>795</v>
      </c>
      <c r="F796">
        <v>958.5544305439762</v>
      </c>
    </row>
    <row r="797" spans="5:6" x14ac:dyDescent="0.35">
      <c r="E797">
        <v>796</v>
      </c>
      <c r="F797">
        <v>7141.0099457250981</v>
      </c>
    </row>
    <row r="798" spans="5:6" x14ac:dyDescent="0.35">
      <c r="E798">
        <v>797</v>
      </c>
      <c r="F798">
        <v>8752.2711969087977</v>
      </c>
    </row>
    <row r="799" spans="5:6" x14ac:dyDescent="0.35">
      <c r="E799">
        <v>798</v>
      </c>
      <c r="F799">
        <v>4948.236814855898</v>
      </c>
    </row>
    <row r="800" spans="5:6" x14ac:dyDescent="0.35">
      <c r="E800">
        <v>799</v>
      </c>
      <c r="F800">
        <v>581.25095157882447</v>
      </c>
    </row>
    <row r="801" spans="5:6" x14ac:dyDescent="0.35">
      <c r="E801">
        <v>800</v>
      </c>
      <c r="F801">
        <v>-1900.9815050938673</v>
      </c>
    </row>
    <row r="802" spans="5:6" x14ac:dyDescent="0.35">
      <c r="E802">
        <v>801</v>
      </c>
      <c r="F802">
        <v>1826.2645688586695</v>
      </c>
    </row>
    <row r="803" spans="5:6" x14ac:dyDescent="0.35">
      <c r="E803">
        <v>802</v>
      </c>
      <c r="F803">
        <v>15629.230452690146</v>
      </c>
    </row>
    <row r="804" spans="5:6" x14ac:dyDescent="0.35">
      <c r="E804">
        <v>803</v>
      </c>
      <c r="F804">
        <v>-3601.6440493604537</v>
      </c>
    </row>
    <row r="805" spans="5:6" x14ac:dyDescent="0.35">
      <c r="E805">
        <v>804</v>
      </c>
      <c r="F805">
        <v>300.791881863588</v>
      </c>
    </row>
    <row r="806" spans="5:6" x14ac:dyDescent="0.35">
      <c r="E806">
        <v>805</v>
      </c>
      <c r="F806">
        <v>-3319.7461716745238</v>
      </c>
    </row>
    <row r="807" spans="5:6" x14ac:dyDescent="0.35">
      <c r="E807">
        <v>806</v>
      </c>
      <c r="F807">
        <v>8401.2392683086946</v>
      </c>
    </row>
    <row r="808" spans="5:6" x14ac:dyDescent="0.35">
      <c r="E808">
        <v>807</v>
      </c>
      <c r="F808">
        <v>-700.49799067886488</v>
      </c>
    </row>
    <row r="809" spans="5:6" x14ac:dyDescent="0.35">
      <c r="E809">
        <v>808</v>
      </c>
      <c r="F809">
        <v>-1807.8987623759278</v>
      </c>
    </row>
    <row r="810" spans="5:6" x14ac:dyDescent="0.35">
      <c r="E810">
        <v>809</v>
      </c>
      <c r="F810">
        <v>-2596.683991406253</v>
      </c>
    </row>
    <row r="811" spans="5:6" x14ac:dyDescent="0.35">
      <c r="E811">
        <v>810</v>
      </c>
      <c r="F811">
        <v>5729.672810017335</v>
      </c>
    </row>
    <row r="812" spans="5:6" x14ac:dyDescent="0.35">
      <c r="E812">
        <v>811</v>
      </c>
      <c r="F812">
        <v>-11709.208686283744</v>
      </c>
    </row>
    <row r="813" spans="5:6" x14ac:dyDescent="0.35">
      <c r="E813">
        <v>812</v>
      </c>
      <c r="F813">
        <v>-3800.0309934640304</v>
      </c>
    </row>
    <row r="814" spans="5:6" x14ac:dyDescent="0.35">
      <c r="E814">
        <v>813</v>
      </c>
      <c r="F814">
        <v>756.44024013615672</v>
      </c>
    </row>
    <row r="815" spans="5:6" x14ac:dyDescent="0.35">
      <c r="E815">
        <v>814</v>
      </c>
      <c r="F815">
        <v>1102.2401587776912</v>
      </c>
    </row>
    <row r="816" spans="5:6" x14ac:dyDescent="0.35">
      <c r="E816">
        <v>815</v>
      </c>
      <c r="F816">
        <v>-6103.7132111489873</v>
      </c>
    </row>
    <row r="817" spans="5:6" x14ac:dyDescent="0.35">
      <c r="E817">
        <v>816</v>
      </c>
      <c r="F817">
        <v>810.33965595653888</v>
      </c>
    </row>
    <row r="818" spans="5:6" x14ac:dyDescent="0.35">
      <c r="E818">
        <v>817</v>
      </c>
      <c r="F818">
        <v>2327.6986748241993</v>
      </c>
    </row>
    <row r="819" spans="5:6" x14ac:dyDescent="0.35">
      <c r="E819">
        <v>818</v>
      </c>
      <c r="F819">
        <v>10296.65931294347</v>
      </c>
    </row>
    <row r="820" spans="5:6" x14ac:dyDescent="0.35">
      <c r="E820">
        <v>819</v>
      </c>
      <c r="F820">
        <v>-3112.5878957461528</v>
      </c>
    </row>
    <row r="821" spans="5:6" x14ac:dyDescent="0.35">
      <c r="E821">
        <v>820</v>
      </c>
      <c r="F821">
        <v>-2503.8122101327549</v>
      </c>
    </row>
    <row r="822" spans="5:6" x14ac:dyDescent="0.35">
      <c r="E822">
        <v>821</v>
      </c>
      <c r="F822">
        <v>5112.2672105062766</v>
      </c>
    </row>
    <row r="823" spans="5:6" x14ac:dyDescent="0.35">
      <c r="E823">
        <v>822</v>
      </c>
      <c r="F823">
        <v>13931.140728034872</v>
      </c>
    </row>
    <row r="824" spans="5:6" x14ac:dyDescent="0.35">
      <c r="E824">
        <v>823</v>
      </c>
      <c r="F824">
        <v>278.13816769192999</v>
      </c>
    </row>
    <row r="825" spans="5:6" x14ac:dyDescent="0.35">
      <c r="E825">
        <v>824</v>
      </c>
      <c r="F825">
        <v>-3649.1963796846762</v>
      </c>
    </row>
    <row r="826" spans="5:6" x14ac:dyDescent="0.35">
      <c r="E826">
        <v>825</v>
      </c>
      <c r="F826">
        <v>11534.978075376472</v>
      </c>
    </row>
    <row r="827" spans="5:6" x14ac:dyDescent="0.35">
      <c r="E827">
        <v>826</v>
      </c>
      <c r="F827">
        <v>2751.1954890724232</v>
      </c>
    </row>
    <row r="828" spans="5:6" x14ac:dyDescent="0.35">
      <c r="E828">
        <v>827</v>
      </c>
      <c r="F828">
        <v>10644.936111838368</v>
      </c>
    </row>
    <row r="829" spans="5:6" x14ac:dyDescent="0.35">
      <c r="E829">
        <v>828</v>
      </c>
      <c r="F829">
        <v>-7103.9794293405994</v>
      </c>
    </row>
    <row r="830" spans="5:6" x14ac:dyDescent="0.35">
      <c r="E830">
        <v>829</v>
      </c>
      <c r="F830">
        <v>-4053.7370020039561</v>
      </c>
    </row>
    <row r="831" spans="5:6" x14ac:dyDescent="0.35">
      <c r="E831">
        <v>830</v>
      </c>
      <c r="F831">
        <v>140.44655946175044</v>
      </c>
    </row>
    <row r="832" spans="5:6" x14ac:dyDescent="0.35">
      <c r="E832">
        <v>831</v>
      </c>
      <c r="F832">
        <v>5150.0989660802225</v>
      </c>
    </row>
    <row r="833" spans="5:6" x14ac:dyDescent="0.35">
      <c r="E833">
        <v>832</v>
      </c>
      <c r="F833">
        <v>-10478.85048269455</v>
      </c>
    </row>
    <row r="834" spans="5:6" x14ac:dyDescent="0.35">
      <c r="E834">
        <v>833</v>
      </c>
      <c r="F834">
        <v>2691.6882422244671</v>
      </c>
    </row>
    <row r="835" spans="5:6" x14ac:dyDescent="0.35">
      <c r="E835">
        <v>834</v>
      </c>
      <c r="F835">
        <v>-1860.1384527338969</v>
      </c>
    </row>
    <row r="836" spans="5:6" x14ac:dyDescent="0.35">
      <c r="E836">
        <v>835</v>
      </c>
      <c r="F836">
        <v>1068.0537524334081</v>
      </c>
    </row>
    <row r="837" spans="5:6" x14ac:dyDescent="0.35">
      <c r="E837">
        <v>836</v>
      </c>
      <c r="F837">
        <v>7461.7758346560513</v>
      </c>
    </row>
    <row r="838" spans="5:6" x14ac:dyDescent="0.35">
      <c r="E838">
        <v>837</v>
      </c>
      <c r="F838">
        <v>1952.7446162187175</v>
      </c>
    </row>
    <row r="839" spans="5:6" x14ac:dyDescent="0.35">
      <c r="E839">
        <v>838</v>
      </c>
      <c r="F839">
        <v>-7561.3250204948745</v>
      </c>
    </row>
    <row r="840" spans="5:6" x14ac:dyDescent="0.35">
      <c r="E840">
        <v>839</v>
      </c>
      <c r="F840">
        <v>3581.3875210510992</v>
      </c>
    </row>
    <row r="841" spans="5:6" x14ac:dyDescent="0.35">
      <c r="E841">
        <v>840</v>
      </c>
      <c r="F841">
        <v>-949.62099037658618</v>
      </c>
    </row>
    <row r="842" spans="5:6" x14ac:dyDescent="0.35">
      <c r="E842">
        <v>841</v>
      </c>
      <c r="F842">
        <v>2314.6304894419372</v>
      </c>
    </row>
    <row r="843" spans="5:6" x14ac:dyDescent="0.35">
      <c r="E843">
        <v>842</v>
      </c>
      <c r="F843">
        <v>9255.9920419386872</v>
      </c>
    </row>
    <row r="844" spans="5:6" x14ac:dyDescent="0.35">
      <c r="E844">
        <v>843</v>
      </c>
      <c r="F844">
        <v>-8923.9100362034951</v>
      </c>
    </row>
    <row r="845" spans="5:6" x14ac:dyDescent="0.35">
      <c r="E845">
        <v>844</v>
      </c>
      <c r="F845">
        <v>925.5421805397516</v>
      </c>
    </row>
    <row r="846" spans="5:6" x14ac:dyDescent="0.35">
      <c r="E846">
        <v>845</v>
      </c>
      <c r="F846">
        <v>-9461.5691179594669</v>
      </c>
    </row>
    <row r="847" spans="5:6" x14ac:dyDescent="0.35">
      <c r="E847">
        <v>846</v>
      </c>
      <c r="F847">
        <v>9097.3509591526054</v>
      </c>
    </row>
    <row r="848" spans="5:6" x14ac:dyDescent="0.35">
      <c r="E848">
        <v>847</v>
      </c>
      <c r="F848">
        <v>2781.8121126307824</v>
      </c>
    </row>
    <row r="849" spans="5:6" x14ac:dyDescent="0.35">
      <c r="E849">
        <v>848</v>
      </c>
      <c r="F849">
        <v>-2882.2131960364641</v>
      </c>
    </row>
    <row r="850" spans="5:6" x14ac:dyDescent="0.35">
      <c r="E850">
        <v>849</v>
      </c>
      <c r="F850">
        <v>-220.82775981380902</v>
      </c>
    </row>
    <row r="851" spans="5:6" x14ac:dyDescent="0.35">
      <c r="E851">
        <v>850</v>
      </c>
      <c r="F851">
        <v>-1328.9877088192584</v>
      </c>
    </row>
    <row r="852" spans="5:6" x14ac:dyDescent="0.35">
      <c r="E852">
        <v>851</v>
      </c>
      <c r="F852">
        <v>421.33700613515595</v>
      </c>
    </row>
    <row r="853" spans="5:6" x14ac:dyDescent="0.35">
      <c r="E853">
        <v>852</v>
      </c>
      <c r="F853">
        <v>-982.36578397164055</v>
      </c>
    </row>
    <row r="854" spans="5:6" x14ac:dyDescent="0.35">
      <c r="E854">
        <v>853</v>
      </c>
      <c r="F854">
        <v>-1352.9883558924282</v>
      </c>
    </row>
    <row r="855" spans="5:6" x14ac:dyDescent="0.35">
      <c r="E855">
        <v>854</v>
      </c>
      <c r="F855">
        <v>-6026.9478757504021</v>
      </c>
    </row>
    <row r="856" spans="5:6" x14ac:dyDescent="0.35">
      <c r="E856">
        <v>855</v>
      </c>
      <c r="F856">
        <v>-6230.4623300074636</v>
      </c>
    </row>
    <row r="857" spans="5:6" x14ac:dyDescent="0.35">
      <c r="E857">
        <v>856</v>
      </c>
      <c r="F857">
        <v>7983.46401113912</v>
      </c>
    </row>
    <row r="858" spans="5:6" x14ac:dyDescent="0.35">
      <c r="E858">
        <v>857</v>
      </c>
      <c r="F858">
        <v>-12250.084468088258</v>
      </c>
    </row>
    <row r="859" spans="5:6" x14ac:dyDescent="0.35">
      <c r="E859">
        <v>858</v>
      </c>
      <c r="F859">
        <v>1479.5689431357605</v>
      </c>
    </row>
    <row r="860" spans="5:6" x14ac:dyDescent="0.35">
      <c r="E860">
        <v>859</v>
      </c>
      <c r="F860">
        <v>229.90686602748974</v>
      </c>
    </row>
    <row r="861" spans="5:6" x14ac:dyDescent="0.35">
      <c r="E861">
        <v>860</v>
      </c>
      <c r="F861">
        <v>4029.3518717856323</v>
      </c>
    </row>
    <row r="862" spans="5:6" x14ac:dyDescent="0.35">
      <c r="E862">
        <v>861</v>
      </c>
      <c r="F862">
        <v>4974.4498473844351</v>
      </c>
    </row>
    <row r="863" spans="5:6" x14ac:dyDescent="0.35">
      <c r="E863">
        <v>862</v>
      </c>
      <c r="F863">
        <v>4981.5283992074037</v>
      </c>
    </row>
    <row r="864" spans="5:6" x14ac:dyDescent="0.35">
      <c r="E864">
        <v>863</v>
      </c>
      <c r="F864">
        <v>1205.6947813817897</v>
      </c>
    </row>
    <row r="865" spans="5:6" x14ac:dyDescent="0.35">
      <c r="E865">
        <v>864</v>
      </c>
      <c r="F865">
        <v>702.28561815441162</v>
      </c>
    </row>
    <row r="866" spans="5:6" x14ac:dyDescent="0.35">
      <c r="E866">
        <v>865</v>
      </c>
      <c r="F866">
        <v>5414.0515411465967</v>
      </c>
    </row>
    <row r="867" spans="5:6" x14ac:dyDescent="0.35">
      <c r="E867">
        <v>866</v>
      </c>
      <c r="F867">
        <v>-4909.4352437062944</v>
      </c>
    </row>
    <row r="868" spans="5:6" x14ac:dyDescent="0.35">
      <c r="E868">
        <v>867</v>
      </c>
      <c r="F868">
        <v>-6547.6495763489438</v>
      </c>
    </row>
    <row r="869" spans="5:6" x14ac:dyDescent="0.35">
      <c r="E869">
        <v>868</v>
      </c>
      <c r="F869">
        <v>6262.1773594483811</v>
      </c>
    </row>
    <row r="870" spans="5:6" x14ac:dyDescent="0.35">
      <c r="E870">
        <v>869</v>
      </c>
      <c r="F870">
        <v>3607.511766761133</v>
      </c>
    </row>
    <row r="871" spans="5:6" x14ac:dyDescent="0.35">
      <c r="E871">
        <v>870</v>
      </c>
      <c r="F871">
        <v>6595.8555223827789</v>
      </c>
    </row>
    <row r="872" spans="5:6" x14ac:dyDescent="0.35">
      <c r="E872">
        <v>871</v>
      </c>
      <c r="F872">
        <v>-12376.872705968963</v>
      </c>
    </row>
    <row r="873" spans="5:6" x14ac:dyDescent="0.35">
      <c r="E873">
        <v>872</v>
      </c>
      <c r="F873">
        <v>4658.6866503066994</v>
      </c>
    </row>
    <row r="874" spans="5:6" x14ac:dyDescent="0.35">
      <c r="E874">
        <v>873</v>
      </c>
      <c r="F874">
        <v>-1648.5202874182651</v>
      </c>
    </row>
    <row r="875" spans="5:6" x14ac:dyDescent="0.35">
      <c r="E875">
        <v>874</v>
      </c>
      <c r="F875">
        <v>-13007.46870150147</v>
      </c>
    </row>
    <row r="876" spans="5:6" x14ac:dyDescent="0.35">
      <c r="E876">
        <v>875</v>
      </c>
      <c r="F876">
        <v>3114.6449474538003</v>
      </c>
    </row>
    <row r="877" spans="5:6" x14ac:dyDescent="0.35">
      <c r="E877">
        <v>876</v>
      </c>
      <c r="F877">
        <v>6122.6685104477001</v>
      </c>
    </row>
    <row r="878" spans="5:6" x14ac:dyDescent="0.35">
      <c r="E878">
        <v>877</v>
      </c>
      <c r="F878">
        <v>-5366.6522927916658</v>
      </c>
    </row>
    <row r="879" spans="5:6" x14ac:dyDescent="0.35">
      <c r="E879">
        <v>878</v>
      </c>
      <c r="F879">
        <v>5871.0046303625277</v>
      </c>
    </row>
    <row r="880" spans="5:6" x14ac:dyDescent="0.35">
      <c r="E880">
        <v>879</v>
      </c>
      <c r="F880">
        <v>-7479.3954644012047</v>
      </c>
    </row>
    <row r="881" spans="5:6" x14ac:dyDescent="0.35">
      <c r="E881">
        <v>880</v>
      </c>
      <c r="F881">
        <v>-3275.7154918490091</v>
      </c>
    </row>
    <row r="882" spans="5:6" x14ac:dyDescent="0.35">
      <c r="E882">
        <v>881</v>
      </c>
      <c r="F882">
        <v>-1472.7753845541654</v>
      </c>
    </row>
    <row r="883" spans="5:6" x14ac:dyDescent="0.35">
      <c r="E883">
        <v>882</v>
      </c>
      <c r="F883">
        <v>-10195.074666433778</v>
      </c>
    </row>
    <row r="884" spans="5:6" x14ac:dyDescent="0.35">
      <c r="E884">
        <v>883</v>
      </c>
      <c r="F884">
        <v>-10119.385228108367</v>
      </c>
    </row>
    <row r="885" spans="5:6" x14ac:dyDescent="0.35">
      <c r="E885">
        <v>884</v>
      </c>
      <c r="F885">
        <v>1826.8801588686765</v>
      </c>
    </row>
    <row r="886" spans="5:6" x14ac:dyDescent="0.35">
      <c r="E886">
        <v>885</v>
      </c>
      <c r="F886">
        <v>-2708.5612851302412</v>
      </c>
    </row>
    <row r="887" spans="5:6" x14ac:dyDescent="0.35">
      <c r="E887">
        <v>886</v>
      </c>
      <c r="F887">
        <v>3219.2730623329116</v>
      </c>
    </row>
    <row r="888" spans="5:6" x14ac:dyDescent="0.35">
      <c r="E888">
        <v>887</v>
      </c>
      <c r="F888">
        <v>5218.833242647539</v>
      </c>
    </row>
    <row r="889" spans="5:6" x14ac:dyDescent="0.35">
      <c r="E889">
        <v>888</v>
      </c>
      <c r="F889">
        <v>-3333.4033647943747</v>
      </c>
    </row>
    <row r="890" spans="5:6" x14ac:dyDescent="0.35">
      <c r="E890">
        <v>889</v>
      </c>
      <c r="F890">
        <v>-4219.9868456113463</v>
      </c>
    </row>
    <row r="891" spans="5:6" x14ac:dyDescent="0.35">
      <c r="E891">
        <v>890</v>
      </c>
      <c r="F891">
        <v>-17686.137042046175</v>
      </c>
    </row>
    <row r="892" spans="5:6" x14ac:dyDescent="0.35">
      <c r="E892">
        <v>891</v>
      </c>
      <c r="F892">
        <v>6729.7187613094111</v>
      </c>
    </row>
    <row r="893" spans="5:6" x14ac:dyDescent="0.35">
      <c r="E893">
        <v>892</v>
      </c>
      <c r="F893">
        <v>-11989.55134375793</v>
      </c>
    </row>
    <row r="894" spans="5:6" x14ac:dyDescent="0.35">
      <c r="E894">
        <v>893</v>
      </c>
      <c r="F894">
        <v>2690.2076771773568</v>
      </c>
    </row>
    <row r="895" spans="5:6" x14ac:dyDescent="0.35">
      <c r="E895">
        <v>894</v>
      </c>
      <c r="F895">
        <v>3321.6035297392159</v>
      </c>
    </row>
    <row r="896" spans="5:6" x14ac:dyDescent="0.35">
      <c r="E896">
        <v>895</v>
      </c>
      <c r="F896">
        <v>-12650.671440986331</v>
      </c>
    </row>
    <row r="897" spans="5:6" x14ac:dyDescent="0.35">
      <c r="E897">
        <v>896</v>
      </c>
      <c r="F897">
        <v>-7551.5287629509285</v>
      </c>
    </row>
    <row r="898" spans="5:6" x14ac:dyDescent="0.35">
      <c r="E898">
        <v>897</v>
      </c>
      <c r="F898">
        <v>-8550.0184724090032</v>
      </c>
    </row>
    <row r="899" spans="5:6" x14ac:dyDescent="0.35">
      <c r="E899">
        <v>898</v>
      </c>
      <c r="F899">
        <v>-3120.9450982760582</v>
      </c>
    </row>
    <row r="900" spans="5:6" x14ac:dyDescent="0.35">
      <c r="E900">
        <v>899</v>
      </c>
      <c r="F900">
        <v>-11240.557986811393</v>
      </c>
    </row>
    <row r="901" spans="5:6" x14ac:dyDescent="0.35">
      <c r="E901">
        <v>900</v>
      </c>
      <c r="F901">
        <v>-7248.071044162265</v>
      </c>
    </row>
    <row r="902" spans="5:6" x14ac:dyDescent="0.35">
      <c r="E902">
        <v>901</v>
      </c>
      <c r="F902">
        <v>2794.1103558322866</v>
      </c>
    </row>
    <row r="903" spans="5:6" x14ac:dyDescent="0.35">
      <c r="E903">
        <v>902</v>
      </c>
      <c r="F903">
        <v>-2457.9970717233809</v>
      </c>
    </row>
    <row r="904" spans="5:6" x14ac:dyDescent="0.35">
      <c r="E904">
        <v>903</v>
      </c>
      <c r="F904">
        <v>-2911.3486769285964</v>
      </c>
    </row>
    <row r="905" spans="5:6" x14ac:dyDescent="0.35">
      <c r="E905">
        <v>904</v>
      </c>
      <c r="F905">
        <v>-2461.0417251909421</v>
      </c>
    </row>
    <row r="906" spans="5:6" x14ac:dyDescent="0.35">
      <c r="E906">
        <v>905</v>
      </c>
      <c r="F906">
        <v>-5064.5511171863554</v>
      </c>
    </row>
    <row r="907" spans="5:6" x14ac:dyDescent="0.35">
      <c r="E907">
        <v>906</v>
      </c>
      <c r="F907">
        <v>801.6460594045667</v>
      </c>
    </row>
    <row r="908" spans="5:6" x14ac:dyDescent="0.35">
      <c r="E908">
        <v>907</v>
      </c>
      <c r="F908">
        <v>-4048.8267307433725</v>
      </c>
    </row>
    <row r="909" spans="5:6" x14ac:dyDescent="0.35">
      <c r="E909">
        <v>908</v>
      </c>
      <c r="F909">
        <v>-15924.24838391194</v>
      </c>
    </row>
    <row r="910" spans="5:6" x14ac:dyDescent="0.35">
      <c r="E910">
        <v>909</v>
      </c>
      <c r="F910">
        <v>12309.886558729275</v>
      </c>
    </row>
    <row r="911" spans="5:6" x14ac:dyDescent="0.35">
      <c r="E911">
        <v>910</v>
      </c>
      <c r="F911">
        <v>729.63624343575793</v>
      </c>
    </row>
    <row r="912" spans="5:6" x14ac:dyDescent="0.35">
      <c r="E912">
        <v>911</v>
      </c>
      <c r="F912">
        <v>2493.7549596133831</v>
      </c>
    </row>
    <row r="913" spans="5:6" x14ac:dyDescent="0.35">
      <c r="E913">
        <v>912</v>
      </c>
      <c r="F913">
        <v>298.38173235723571</v>
      </c>
    </row>
    <row r="914" spans="5:6" x14ac:dyDescent="0.35">
      <c r="E914">
        <v>913</v>
      </c>
      <c r="F914">
        <v>1766.4514024422203</v>
      </c>
    </row>
    <row r="915" spans="5:6" x14ac:dyDescent="0.35">
      <c r="E915">
        <v>914</v>
      </c>
      <c r="F915">
        <v>9162.0201786425259</v>
      </c>
    </row>
    <row r="916" spans="5:6" x14ac:dyDescent="0.35">
      <c r="E916">
        <v>915</v>
      </c>
      <c r="F916">
        <v>-5497.6666714786816</v>
      </c>
    </row>
    <row r="917" spans="5:6" x14ac:dyDescent="0.35">
      <c r="E917">
        <v>916</v>
      </c>
      <c r="F917">
        <v>4460.9218463087373</v>
      </c>
    </row>
    <row r="918" spans="5:6" x14ac:dyDescent="0.35">
      <c r="E918">
        <v>917</v>
      </c>
      <c r="F918">
        <v>13758.669372991681</v>
      </c>
    </row>
    <row r="919" spans="5:6" x14ac:dyDescent="0.35">
      <c r="E919">
        <v>918</v>
      </c>
      <c r="F919">
        <v>456.31146483180305</v>
      </c>
    </row>
    <row r="920" spans="5:6" x14ac:dyDescent="0.35">
      <c r="E920">
        <v>919</v>
      </c>
      <c r="F920">
        <v>4447.692271517757</v>
      </c>
    </row>
    <row r="921" spans="5:6" x14ac:dyDescent="0.35">
      <c r="E921">
        <v>920</v>
      </c>
      <c r="F921">
        <v>-7922.7360748299825</v>
      </c>
    </row>
    <row r="922" spans="5:6" x14ac:dyDescent="0.35">
      <c r="E922">
        <v>921</v>
      </c>
      <c r="F922">
        <v>14689.229268878764</v>
      </c>
    </row>
    <row r="923" spans="5:6" x14ac:dyDescent="0.35">
      <c r="E923">
        <v>922</v>
      </c>
      <c r="F923">
        <v>-3458.8586495778027</v>
      </c>
    </row>
    <row r="924" spans="5:6" x14ac:dyDescent="0.35">
      <c r="E924">
        <v>923</v>
      </c>
      <c r="F924">
        <v>5671.5988007600508</v>
      </c>
    </row>
    <row r="925" spans="5:6" x14ac:dyDescent="0.35">
      <c r="E925">
        <v>924</v>
      </c>
      <c r="F925">
        <v>3832.5580579172347</v>
      </c>
    </row>
    <row r="926" spans="5:6" x14ac:dyDescent="0.35">
      <c r="E926">
        <v>925</v>
      </c>
      <c r="F926">
        <v>-5190.2650071385679</v>
      </c>
    </row>
    <row r="927" spans="5:6" x14ac:dyDescent="0.35">
      <c r="E927">
        <v>926</v>
      </c>
      <c r="F927">
        <v>3500.9907559900962</v>
      </c>
    </row>
    <row r="928" spans="5:6" x14ac:dyDescent="0.35">
      <c r="E928">
        <v>927</v>
      </c>
      <c r="F928">
        <v>14251.489619381435</v>
      </c>
    </row>
    <row r="929" spans="5:6" x14ac:dyDescent="0.35">
      <c r="E929">
        <v>928</v>
      </c>
      <c r="F929">
        <v>492.17838416037898</v>
      </c>
    </row>
    <row r="930" spans="5:6" x14ac:dyDescent="0.35">
      <c r="E930">
        <v>929</v>
      </c>
      <c r="F930">
        <v>4985.0446050570918</v>
      </c>
    </row>
    <row r="931" spans="5:6" x14ac:dyDescent="0.35">
      <c r="E931">
        <v>930</v>
      </c>
      <c r="F931">
        <v>212.62036366263791</v>
      </c>
    </row>
    <row r="932" spans="5:6" x14ac:dyDescent="0.35">
      <c r="E932">
        <v>931</v>
      </c>
      <c r="F932">
        <v>-7269.5507137447757</v>
      </c>
    </row>
    <row r="933" spans="5:6" x14ac:dyDescent="0.35">
      <c r="E933">
        <v>932</v>
      </c>
      <c r="F933">
        <v>-14267.125426400205</v>
      </c>
    </row>
    <row r="934" spans="5:6" x14ac:dyDescent="0.35">
      <c r="E934">
        <v>933</v>
      </c>
      <c r="F934">
        <v>-1211.0702279895554</v>
      </c>
    </row>
    <row r="935" spans="5:6" x14ac:dyDescent="0.35">
      <c r="E935">
        <v>934</v>
      </c>
      <c r="F935">
        <v>-535.00831690967505</v>
      </c>
    </row>
    <row r="936" spans="5:6" x14ac:dyDescent="0.35">
      <c r="E936">
        <v>935</v>
      </c>
      <c r="F936">
        <v>9799.2263936057789</v>
      </c>
    </row>
    <row r="937" spans="5:6" x14ac:dyDescent="0.35">
      <c r="E937">
        <v>936</v>
      </c>
      <c r="F937">
        <v>-2846.5885111168682</v>
      </c>
    </row>
    <row r="938" spans="5:6" x14ac:dyDescent="0.35">
      <c r="E938">
        <v>937</v>
      </c>
      <c r="F938">
        <v>-3141.2491859591464</v>
      </c>
    </row>
    <row r="939" spans="5:6" x14ac:dyDescent="0.35">
      <c r="E939">
        <v>938</v>
      </c>
      <c r="F939">
        <v>-4323.766489744844</v>
      </c>
    </row>
    <row r="940" spans="5:6" x14ac:dyDescent="0.35">
      <c r="E940">
        <v>939</v>
      </c>
      <c r="F940">
        <v>-8095.3944936908956</v>
      </c>
    </row>
    <row r="941" spans="5:6" x14ac:dyDescent="0.35">
      <c r="E941">
        <v>940</v>
      </c>
      <c r="F941">
        <v>7971.9042408184905</v>
      </c>
    </row>
    <row r="942" spans="5:6" x14ac:dyDescent="0.35">
      <c r="E942">
        <v>941</v>
      </c>
      <c r="F942">
        <v>-3388.5508624195281</v>
      </c>
    </row>
    <row r="943" spans="5:6" x14ac:dyDescent="0.35">
      <c r="E943">
        <v>942</v>
      </c>
      <c r="F943">
        <v>1769.5559924102718</v>
      </c>
    </row>
    <row r="944" spans="5:6" x14ac:dyDescent="0.35">
      <c r="E944">
        <v>943</v>
      </c>
      <c r="F944">
        <v>-1749.5275571429413</v>
      </c>
    </row>
    <row r="945" spans="5:6" x14ac:dyDescent="0.35">
      <c r="E945">
        <v>944</v>
      </c>
      <c r="F945">
        <v>-9880.8928101003712</v>
      </c>
    </row>
    <row r="946" spans="5:6" x14ac:dyDescent="0.35">
      <c r="E946">
        <v>945</v>
      </c>
      <c r="F946">
        <v>974.35598762256268</v>
      </c>
    </row>
    <row r="947" spans="5:6" x14ac:dyDescent="0.35">
      <c r="E947">
        <v>946</v>
      </c>
      <c r="F947">
        <v>-2235.3091571326363</v>
      </c>
    </row>
    <row r="948" spans="5:6" x14ac:dyDescent="0.35">
      <c r="E948">
        <v>947</v>
      </c>
      <c r="F948">
        <v>-1202.079000463913</v>
      </c>
    </row>
    <row r="949" spans="5:6" x14ac:dyDescent="0.35">
      <c r="E949">
        <v>948</v>
      </c>
      <c r="F949">
        <v>11637.200355272795</v>
      </c>
    </row>
    <row r="950" spans="5:6" x14ac:dyDescent="0.35">
      <c r="E950">
        <v>949</v>
      </c>
      <c r="F950">
        <v>-437.30719725262304</v>
      </c>
    </row>
    <row r="951" spans="5:6" x14ac:dyDescent="0.35">
      <c r="E951">
        <v>950</v>
      </c>
      <c r="F951">
        <v>15843.672653171903</v>
      </c>
    </row>
    <row r="952" spans="5:6" x14ac:dyDescent="0.35">
      <c r="E952">
        <v>951</v>
      </c>
      <c r="F952">
        <v>-5731.5487497619515</v>
      </c>
    </row>
    <row r="953" spans="5:6" x14ac:dyDescent="0.35">
      <c r="E953">
        <v>952</v>
      </c>
      <c r="F953">
        <v>-8427.632941623946</v>
      </c>
    </row>
    <row r="954" spans="5:6" x14ac:dyDescent="0.35">
      <c r="E954">
        <v>953</v>
      </c>
      <c r="F954">
        <v>-3141.7625299411184</v>
      </c>
    </row>
    <row r="955" spans="5:6" x14ac:dyDescent="0.35">
      <c r="E955">
        <v>954</v>
      </c>
      <c r="F955">
        <v>5331.5552585696905</v>
      </c>
    </row>
    <row r="956" spans="5:6" x14ac:dyDescent="0.35">
      <c r="E956">
        <v>955</v>
      </c>
      <c r="F956">
        <v>-5641.5027890474412</v>
      </c>
    </row>
    <row r="957" spans="5:6" x14ac:dyDescent="0.35">
      <c r="E957">
        <v>956</v>
      </c>
      <c r="F957">
        <v>-5808.7588494339652</v>
      </c>
    </row>
    <row r="958" spans="5:6" x14ac:dyDescent="0.35">
      <c r="E958">
        <v>957</v>
      </c>
      <c r="F958">
        <v>2386.9832015047723</v>
      </c>
    </row>
    <row r="959" spans="5:6" x14ac:dyDescent="0.35">
      <c r="E959">
        <v>958</v>
      </c>
      <c r="F959">
        <v>476.60914704926472</v>
      </c>
    </row>
    <row r="960" spans="5:6" x14ac:dyDescent="0.35">
      <c r="E960">
        <v>959</v>
      </c>
      <c r="F960">
        <v>-4934.2246572971862</v>
      </c>
    </row>
    <row r="961" spans="5:6" x14ac:dyDescent="0.35">
      <c r="E961">
        <v>960</v>
      </c>
      <c r="F961">
        <v>3020.0384427105455</v>
      </c>
    </row>
    <row r="962" spans="5:6" x14ac:dyDescent="0.35">
      <c r="E962">
        <v>961</v>
      </c>
      <c r="F962">
        <v>1303.6726196523819</v>
      </c>
    </row>
    <row r="963" spans="5:6" x14ac:dyDescent="0.35">
      <c r="E963">
        <v>962</v>
      </c>
      <c r="F963">
        <v>-5021.0029206784757</v>
      </c>
    </row>
    <row r="964" spans="5:6" x14ac:dyDescent="0.35">
      <c r="E964">
        <v>963</v>
      </c>
      <c r="F964">
        <v>-2812.9952190290851</v>
      </c>
    </row>
    <row r="965" spans="5:6" x14ac:dyDescent="0.35">
      <c r="E965">
        <v>964</v>
      </c>
      <c r="F965">
        <v>-4419.2968060817275</v>
      </c>
    </row>
    <row r="966" spans="5:6" x14ac:dyDescent="0.35">
      <c r="E966">
        <v>965</v>
      </c>
      <c r="F966">
        <v>441.63694828223794</v>
      </c>
    </row>
    <row r="967" spans="5:6" x14ac:dyDescent="0.35">
      <c r="E967">
        <v>966</v>
      </c>
      <c r="F967">
        <v>1123.8117370038817</v>
      </c>
    </row>
    <row r="968" spans="5:6" x14ac:dyDescent="0.35">
      <c r="E968">
        <v>967</v>
      </c>
      <c r="F968">
        <v>9374.7560012639478</v>
      </c>
    </row>
    <row r="969" spans="5:6" x14ac:dyDescent="0.35">
      <c r="E969">
        <v>968</v>
      </c>
      <c r="F969">
        <v>-2513.7823944640486</v>
      </c>
    </row>
    <row r="970" spans="5:6" x14ac:dyDescent="0.35">
      <c r="E970">
        <v>969</v>
      </c>
      <c r="F970">
        <v>-7534.75827533759</v>
      </c>
    </row>
    <row r="971" spans="5:6" x14ac:dyDescent="0.35">
      <c r="E971">
        <v>970</v>
      </c>
      <c r="F971">
        <v>2667.5879124963317</v>
      </c>
    </row>
    <row r="972" spans="5:6" x14ac:dyDescent="0.35">
      <c r="E972">
        <v>971</v>
      </c>
      <c r="F972">
        <v>-3428.411280855647</v>
      </c>
    </row>
    <row r="973" spans="5:6" x14ac:dyDescent="0.35">
      <c r="E973">
        <v>972</v>
      </c>
      <c r="F973">
        <v>-9061.4597910217763</v>
      </c>
    </row>
    <row r="974" spans="5:6" x14ac:dyDescent="0.35">
      <c r="E974">
        <v>973</v>
      </c>
      <c r="F974">
        <v>6617.7515117895855</v>
      </c>
    </row>
    <row r="975" spans="5:6" x14ac:dyDescent="0.35">
      <c r="E975">
        <v>974</v>
      </c>
      <c r="F975">
        <v>3468.2407266555992</v>
      </c>
    </row>
    <row r="976" spans="5:6" x14ac:dyDescent="0.35">
      <c r="E976">
        <v>975</v>
      </c>
      <c r="F976">
        <v>393.65655009041802</v>
      </c>
    </row>
    <row r="977" spans="5:6" x14ac:dyDescent="0.35">
      <c r="E977">
        <v>976</v>
      </c>
      <c r="F977">
        <v>7423.2046974378472</v>
      </c>
    </row>
    <row r="978" spans="5:6" x14ac:dyDescent="0.35">
      <c r="E978">
        <v>977</v>
      </c>
      <c r="F978">
        <v>17271.286411776287</v>
      </c>
    </row>
    <row r="979" spans="5:6" x14ac:dyDescent="0.35">
      <c r="E979">
        <v>978</v>
      </c>
      <c r="F979">
        <v>4324.1066591856361</v>
      </c>
    </row>
    <row r="980" spans="5:6" x14ac:dyDescent="0.35">
      <c r="E980">
        <v>979</v>
      </c>
      <c r="F980">
        <v>7387.8506959416554</v>
      </c>
    </row>
    <row r="981" spans="5:6" x14ac:dyDescent="0.35">
      <c r="E981">
        <v>980</v>
      </c>
      <c r="F981">
        <v>2795.0220070817968</v>
      </c>
    </row>
    <row r="982" spans="5:6" x14ac:dyDescent="0.35">
      <c r="E982">
        <v>981</v>
      </c>
      <c r="F982">
        <v>-4606.2112761834969</v>
      </c>
    </row>
    <row r="983" spans="5:6" x14ac:dyDescent="0.35">
      <c r="E983">
        <v>982</v>
      </c>
      <c r="F983">
        <v>-202.11875730982047</v>
      </c>
    </row>
    <row r="984" spans="5:6" x14ac:dyDescent="0.35">
      <c r="E984">
        <v>983</v>
      </c>
      <c r="F984">
        <v>5061.6778895601246</v>
      </c>
    </row>
    <row r="985" spans="5:6" x14ac:dyDescent="0.35">
      <c r="E985">
        <v>984</v>
      </c>
      <c r="F985">
        <v>-10864.734069982713</v>
      </c>
    </row>
    <row r="986" spans="5:6" x14ac:dyDescent="0.35">
      <c r="E986">
        <v>985</v>
      </c>
      <c r="F986">
        <v>1404.5181476747821</v>
      </c>
    </row>
    <row r="987" spans="5:6" x14ac:dyDescent="0.35">
      <c r="E987">
        <v>986</v>
      </c>
      <c r="F987">
        <v>-9505.0321182622502</v>
      </c>
    </row>
    <row r="988" spans="5:6" x14ac:dyDescent="0.35">
      <c r="E988">
        <v>987</v>
      </c>
      <c r="F988">
        <v>-12959.10044094986</v>
      </c>
    </row>
    <row r="989" spans="5:6" x14ac:dyDescent="0.35">
      <c r="E989">
        <v>988</v>
      </c>
      <c r="F989">
        <v>-1825.2564990697624</v>
      </c>
    </row>
    <row r="990" spans="5:6" x14ac:dyDescent="0.35">
      <c r="E990">
        <v>989</v>
      </c>
      <c r="F990">
        <v>1808.3123080956618</v>
      </c>
    </row>
    <row r="991" spans="5:6" x14ac:dyDescent="0.35">
      <c r="E991">
        <v>990</v>
      </c>
      <c r="F991">
        <v>3230.6289890889475</v>
      </c>
    </row>
    <row r="992" spans="5:6" x14ac:dyDescent="0.35">
      <c r="E992">
        <v>991</v>
      </c>
      <c r="F992">
        <v>1365.8074822105928</v>
      </c>
    </row>
    <row r="993" spans="5:6" x14ac:dyDescent="0.35">
      <c r="E993">
        <v>992</v>
      </c>
      <c r="F993">
        <v>-9917.101861217212</v>
      </c>
    </row>
    <row r="994" spans="5:6" x14ac:dyDescent="0.35">
      <c r="E994">
        <v>993</v>
      </c>
      <c r="F994">
        <v>-4775.8139456962745</v>
      </c>
    </row>
    <row r="995" spans="5:6" x14ac:dyDescent="0.35">
      <c r="E995">
        <v>994</v>
      </c>
      <c r="F995">
        <v>5113.2664303743322</v>
      </c>
    </row>
    <row r="996" spans="5:6" x14ac:dyDescent="0.35">
      <c r="E996">
        <v>995</v>
      </c>
      <c r="F996">
        <v>-2760.0517383888782</v>
      </c>
    </row>
    <row r="997" spans="5:6" x14ac:dyDescent="0.35">
      <c r="E997">
        <v>996</v>
      </c>
      <c r="F997">
        <v>-4627.5268623675156</v>
      </c>
    </row>
    <row r="998" spans="5:6" x14ac:dyDescent="0.35">
      <c r="E998">
        <v>997</v>
      </c>
      <c r="F998">
        <v>-13979.277955794452</v>
      </c>
    </row>
    <row r="999" spans="5:6" x14ac:dyDescent="0.35">
      <c r="E999">
        <v>998</v>
      </c>
      <c r="F999">
        <v>9802.5113186420003</v>
      </c>
    </row>
    <row r="1000" spans="5:6" x14ac:dyDescent="0.35">
      <c r="E1000">
        <v>999</v>
      </c>
      <c r="F1000">
        <v>18493.118645920724</v>
      </c>
    </row>
    <row r="1001" spans="5:6" x14ac:dyDescent="0.35">
      <c r="E1001">
        <v>1000</v>
      </c>
      <c r="F1001">
        <v>-5175.5901957043397</v>
      </c>
    </row>
  </sheetData>
  <mergeCells count="1">
    <mergeCell ref="A1:B1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4" r:id="rId3" name="Button 2">
              <controlPr defaultSize="0" print="0" autoFill="0" autoPict="0" macro="[0]!hedging">
                <anchor moveWithCells="1" sizeWithCells="1">
                  <from>
                    <xdr:col>1</xdr:col>
                    <xdr:colOff>6350</xdr:colOff>
                    <xdr:row>19</xdr:row>
                    <xdr:rowOff>6350</xdr:rowOff>
                  </from>
                  <to>
                    <xdr:col>2</xdr:col>
                    <xdr:colOff>12700</xdr:colOff>
                    <xdr:row>20</xdr:row>
                    <xdr:rowOff>6350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5B08D5CF-BEAB-4282-9E6E-FBEE61F47F79}">
          <x14:formula1>
            <xm:f>help!$A$2:$A$4</xm:f>
          </x14:formula1>
          <xm:sqref>B10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117D39-3952-4DFC-BB02-657AC1F5DBA4}">
  <sheetPr codeName="Sheet5"/>
  <dimension ref="A1:Q59"/>
  <sheetViews>
    <sheetView workbookViewId="0">
      <selection activeCell="M17" sqref="M17"/>
    </sheetView>
  </sheetViews>
  <sheetFormatPr defaultRowHeight="14.5" x14ac:dyDescent="0.35"/>
  <cols>
    <col min="1" max="1" width="18.90625" bestFit="1" customWidth="1"/>
  </cols>
  <sheetData>
    <row r="1" spans="1:17" ht="27.5" customHeight="1" x14ac:dyDescent="0.35">
      <c r="A1" s="9" t="s">
        <v>29</v>
      </c>
      <c r="B1" s="9"/>
      <c r="C1" s="9"/>
      <c r="D1" s="9"/>
      <c r="E1" s="9"/>
      <c r="F1" s="9"/>
      <c r="G1" s="9"/>
      <c r="H1" s="9"/>
      <c r="I1" s="9"/>
      <c r="J1" s="9"/>
      <c r="K1" s="9"/>
      <c r="L1" s="9"/>
      <c r="M1" s="9"/>
      <c r="N1" s="9"/>
      <c r="O1" s="9"/>
      <c r="P1" s="9"/>
      <c r="Q1" s="9"/>
    </row>
    <row r="2" spans="1:17" x14ac:dyDescent="0.35">
      <c r="A2" s="8"/>
      <c r="B2" s="8"/>
      <c r="C2" s="8"/>
      <c r="D2" s="8"/>
      <c r="E2" s="8"/>
      <c r="F2" s="8"/>
      <c r="G2" s="8"/>
      <c r="H2" s="8"/>
      <c r="I2" s="8"/>
      <c r="J2" s="8"/>
      <c r="K2" s="8"/>
      <c r="L2" s="8"/>
    </row>
    <row r="3" spans="1:17" x14ac:dyDescent="0.35">
      <c r="A3" s="1" t="s">
        <v>27</v>
      </c>
      <c r="B3" s="2">
        <v>0.01</v>
      </c>
      <c r="C3" s="2">
        <v>1.2E-2</v>
      </c>
      <c r="D3" s="2">
        <v>1.4E-2</v>
      </c>
      <c r="E3" s="2">
        <v>1.6E-2</v>
      </c>
      <c r="F3" s="2">
        <v>1.7999999999999999E-2</v>
      </c>
      <c r="G3" s="2">
        <v>0.02</v>
      </c>
      <c r="H3" s="2">
        <v>2.1999999999999999E-2</v>
      </c>
      <c r="I3" s="2">
        <v>2.4E-2</v>
      </c>
      <c r="J3" s="2">
        <v>2.5999999999999999E-2</v>
      </c>
      <c r="K3" s="2">
        <v>2.8000000000000001E-2</v>
      </c>
      <c r="L3" s="2">
        <v>0.03</v>
      </c>
    </row>
    <row r="4" spans="1:17" x14ac:dyDescent="0.35">
      <c r="A4" s="1" t="s">
        <v>28</v>
      </c>
      <c r="B4" s="4">
        <v>1875.8539430181606</v>
      </c>
      <c r="C4" s="4">
        <v>1856.1333715614082</v>
      </c>
      <c r="D4" s="4">
        <v>1787.4628769224389</v>
      </c>
      <c r="E4" s="4">
        <v>1958.6350153403152</v>
      </c>
      <c r="F4" s="4">
        <v>1848.9773965474212</v>
      </c>
      <c r="G4" s="4">
        <v>1846.9990340123682</v>
      </c>
      <c r="H4" s="4">
        <v>1840.6710546459917</v>
      </c>
      <c r="I4" s="4">
        <v>1919.2586291657828</v>
      </c>
      <c r="J4" s="4">
        <v>1811.9430203944214</v>
      </c>
      <c r="K4" s="4">
        <v>1687.0909102106866</v>
      </c>
      <c r="L4" s="4">
        <v>1831.1522856204081</v>
      </c>
    </row>
    <row r="5" spans="1:17" x14ac:dyDescent="0.35">
      <c r="A5" s="5"/>
      <c r="B5" s="6"/>
      <c r="C5" s="6"/>
      <c r="D5" s="6"/>
      <c r="E5" s="6"/>
      <c r="F5" s="6"/>
      <c r="G5" s="6"/>
      <c r="H5" s="6"/>
      <c r="I5" s="6"/>
      <c r="J5" s="6"/>
      <c r="K5" s="6"/>
      <c r="L5" s="6"/>
    </row>
    <row r="6" spans="1:17" x14ac:dyDescent="0.35">
      <c r="A6" s="1" t="s">
        <v>4</v>
      </c>
      <c r="B6" s="2">
        <v>3.5000000000000003E-2</v>
      </c>
      <c r="C6" s="2">
        <v>0.04</v>
      </c>
      <c r="D6" s="2">
        <v>4.4999999999999998E-2</v>
      </c>
      <c r="E6" s="2">
        <v>0.05</v>
      </c>
      <c r="F6" s="2">
        <v>5.5E-2</v>
      </c>
      <c r="G6" s="2">
        <v>0.06</v>
      </c>
      <c r="H6" s="2">
        <v>6.5000000000000002E-2</v>
      </c>
      <c r="I6" s="2">
        <v>7.0000000000000007E-2</v>
      </c>
      <c r="J6" s="2">
        <v>7.4999999999999997E-2</v>
      </c>
      <c r="K6" s="2">
        <v>0.08</v>
      </c>
      <c r="L6" s="2">
        <v>8.5000000000000006E-2</v>
      </c>
    </row>
    <row r="7" spans="1:17" x14ac:dyDescent="0.35">
      <c r="A7" s="1" t="s">
        <v>28</v>
      </c>
      <c r="B7" s="4">
        <v>1996.2641923694136</v>
      </c>
      <c r="C7" s="4">
        <v>1952.1556218735304</v>
      </c>
      <c r="D7" s="4">
        <v>1939.1385861279175</v>
      </c>
      <c r="E7" s="4">
        <v>1820.3573991760618</v>
      </c>
      <c r="F7" s="4">
        <v>1862.8068183154628</v>
      </c>
      <c r="G7" s="4">
        <v>1777.0657138701515</v>
      </c>
      <c r="H7" s="4">
        <v>1744.0489604544839</v>
      </c>
      <c r="I7" s="4">
        <v>1706.6994724413562</v>
      </c>
      <c r="J7" s="4">
        <v>1592.4951577672957</v>
      </c>
      <c r="K7" s="4">
        <v>1564.0466383150329</v>
      </c>
      <c r="L7" s="4">
        <v>1546.0206606082036</v>
      </c>
    </row>
    <row r="8" spans="1:17" x14ac:dyDescent="0.35">
      <c r="A8" s="1"/>
      <c r="B8" s="2"/>
      <c r="C8" s="2"/>
      <c r="D8" s="2"/>
      <c r="E8" s="2"/>
      <c r="F8" s="2"/>
      <c r="G8" s="2"/>
      <c r="H8" s="2"/>
      <c r="I8" s="2"/>
      <c r="J8" s="2"/>
      <c r="K8" s="2"/>
      <c r="L8" s="2"/>
    </row>
    <row r="9" spans="1:17" x14ac:dyDescent="0.35">
      <c r="A9" s="1" t="s">
        <v>5</v>
      </c>
      <c r="B9" s="2">
        <v>0.1</v>
      </c>
      <c r="C9" s="2">
        <v>0.12</v>
      </c>
      <c r="D9" s="2">
        <v>0.14000000000000001</v>
      </c>
      <c r="E9" s="2">
        <v>0.16</v>
      </c>
      <c r="F9" s="2">
        <v>0.18</v>
      </c>
      <c r="G9" s="2">
        <v>0.2</v>
      </c>
      <c r="H9" s="2">
        <v>0.22</v>
      </c>
      <c r="I9" s="2">
        <v>0.24</v>
      </c>
      <c r="J9" s="2">
        <v>0.26</v>
      </c>
      <c r="K9" s="2">
        <v>0.28000000000000003</v>
      </c>
      <c r="L9" s="2">
        <v>0.3</v>
      </c>
    </row>
    <row r="10" spans="1:17" x14ac:dyDescent="0.35">
      <c r="A10" s="5" t="s">
        <v>28</v>
      </c>
      <c r="B10" s="10">
        <v>419.63291060981641</v>
      </c>
      <c r="C10" s="10">
        <v>705.24474977954037</v>
      </c>
      <c r="D10" s="10">
        <v>1014.5144170693634</v>
      </c>
      <c r="E10" s="10">
        <v>1207.59344353456</v>
      </c>
      <c r="F10" s="10">
        <v>1531.61934167756</v>
      </c>
      <c r="G10" s="10">
        <v>1759.722444795668</v>
      </c>
      <c r="H10" s="10">
        <v>2023.331422396315</v>
      </c>
      <c r="I10" s="10">
        <v>2428.7666545651305</v>
      </c>
      <c r="J10" s="10">
        <v>2628.0365497197758</v>
      </c>
      <c r="K10" s="10">
        <v>2875.7133908073124</v>
      </c>
      <c r="L10" s="10">
        <v>3011.7698209356481</v>
      </c>
    </row>
    <row r="16" spans="1:17" ht="14.5" customHeight="1" x14ac:dyDescent="0.35">
      <c r="A16" s="11" t="s">
        <v>34</v>
      </c>
      <c r="B16" s="11"/>
      <c r="C16" s="11"/>
      <c r="D16" s="11"/>
      <c r="E16" s="11"/>
      <c r="F16" s="11"/>
      <c r="G16" s="11"/>
      <c r="H16" s="11"/>
      <c r="I16" s="11"/>
      <c r="J16" s="11"/>
      <c r="K16" s="11"/>
      <c r="L16" s="11"/>
    </row>
    <row r="17" spans="1:12" x14ac:dyDescent="0.35">
      <c r="A17" s="11"/>
      <c r="B17" s="11"/>
      <c r="C17" s="11"/>
      <c r="D17" s="11"/>
      <c r="E17" s="11"/>
      <c r="F17" s="11"/>
      <c r="G17" s="11"/>
      <c r="H17" s="11"/>
      <c r="I17" s="11"/>
      <c r="J17" s="11"/>
      <c r="K17" s="11"/>
      <c r="L17" s="11"/>
    </row>
    <row r="18" spans="1:12" x14ac:dyDescent="0.35">
      <c r="A18" s="11"/>
      <c r="B18" s="11"/>
      <c r="C18" s="11"/>
      <c r="D18" s="11"/>
      <c r="E18" s="11"/>
      <c r="F18" s="11"/>
      <c r="G18" s="11"/>
      <c r="H18" s="11"/>
      <c r="I18" s="11"/>
      <c r="J18" s="11"/>
      <c r="K18" s="11"/>
      <c r="L18" s="11"/>
    </row>
    <row r="19" spans="1:12" x14ac:dyDescent="0.35">
      <c r="A19" s="11"/>
      <c r="B19" s="11"/>
      <c r="C19" s="11"/>
      <c r="D19" s="11"/>
      <c r="E19" s="11"/>
      <c r="F19" s="11"/>
      <c r="G19" s="11"/>
      <c r="H19" s="11"/>
      <c r="I19" s="11"/>
      <c r="J19" s="11"/>
      <c r="K19" s="11"/>
      <c r="L19" s="11"/>
    </row>
    <row r="20" spans="1:12" x14ac:dyDescent="0.35">
      <c r="A20" s="11"/>
      <c r="B20" s="11"/>
      <c r="C20" s="11"/>
      <c r="D20" s="11"/>
      <c r="E20" s="11"/>
      <c r="F20" s="11"/>
      <c r="G20" s="11"/>
      <c r="H20" s="11"/>
      <c r="I20" s="11"/>
      <c r="J20" s="11"/>
      <c r="K20" s="11"/>
      <c r="L20" s="11"/>
    </row>
    <row r="21" spans="1:12" x14ac:dyDescent="0.35">
      <c r="A21" s="11"/>
      <c r="B21" s="11"/>
      <c r="C21" s="11"/>
      <c r="D21" s="11"/>
      <c r="E21" s="11"/>
      <c r="F21" s="11"/>
      <c r="G21" s="11"/>
      <c r="H21" s="11"/>
      <c r="I21" s="11"/>
      <c r="J21" s="11"/>
      <c r="K21" s="11"/>
      <c r="L21" s="11"/>
    </row>
    <row r="22" spans="1:12" x14ac:dyDescent="0.35">
      <c r="A22" s="11"/>
      <c r="B22" s="11"/>
      <c r="C22" s="11"/>
      <c r="D22" s="11"/>
      <c r="E22" s="11"/>
      <c r="F22" s="11"/>
      <c r="G22" s="11"/>
      <c r="H22" s="11"/>
      <c r="I22" s="11"/>
      <c r="J22" s="11"/>
      <c r="K22" s="11"/>
      <c r="L22" s="11"/>
    </row>
    <row r="23" spans="1:12" x14ac:dyDescent="0.35">
      <c r="A23" s="11"/>
      <c r="B23" s="11"/>
      <c r="C23" s="11"/>
      <c r="D23" s="11"/>
      <c r="E23" s="11"/>
      <c r="F23" s="11"/>
      <c r="G23" s="11"/>
      <c r="H23" s="11"/>
      <c r="I23" s="11"/>
      <c r="J23" s="11"/>
      <c r="K23" s="11"/>
      <c r="L23" s="11"/>
    </row>
    <row r="24" spans="1:12" x14ac:dyDescent="0.35">
      <c r="A24" s="11"/>
      <c r="B24" s="11"/>
      <c r="C24" s="11"/>
      <c r="D24" s="11"/>
      <c r="E24" s="11"/>
      <c r="F24" s="11"/>
      <c r="G24" s="11"/>
      <c r="H24" s="11"/>
      <c r="I24" s="11"/>
      <c r="J24" s="11"/>
      <c r="K24" s="11"/>
      <c r="L24" s="11"/>
    </row>
    <row r="25" spans="1:12" x14ac:dyDescent="0.35">
      <c r="A25" s="11"/>
      <c r="B25" s="11"/>
      <c r="C25" s="11"/>
      <c r="D25" s="11"/>
      <c r="E25" s="11"/>
      <c r="F25" s="11"/>
      <c r="G25" s="11"/>
      <c r="H25" s="11"/>
      <c r="I25" s="11"/>
      <c r="J25" s="11"/>
      <c r="K25" s="11"/>
      <c r="L25" s="11"/>
    </row>
    <row r="27" spans="1:12" x14ac:dyDescent="0.35">
      <c r="A27" s="12" t="s">
        <v>30</v>
      </c>
    </row>
    <row r="28" spans="1:12" x14ac:dyDescent="0.35">
      <c r="A28" t="s">
        <v>33</v>
      </c>
    </row>
    <row r="29" spans="1:12" x14ac:dyDescent="0.35">
      <c r="A29" s="1" t="s">
        <v>27</v>
      </c>
      <c r="B29" s="2">
        <v>0.01</v>
      </c>
      <c r="C29" s="2">
        <v>1.2E-2</v>
      </c>
      <c r="D29" s="2">
        <v>1.4E-2</v>
      </c>
      <c r="E29" s="2">
        <v>1.6E-2</v>
      </c>
      <c r="F29" s="2">
        <v>1.7999999999999999E-2</v>
      </c>
      <c r="G29" s="2">
        <v>0.02</v>
      </c>
      <c r="H29" s="2">
        <v>2.1999999999999999E-2</v>
      </c>
      <c r="I29" s="2">
        <v>2.4E-2</v>
      </c>
      <c r="J29" s="2">
        <v>2.5999999999999999E-2</v>
      </c>
      <c r="K29" s="2">
        <v>2.8000000000000001E-2</v>
      </c>
      <c r="L29" s="2">
        <v>0.03</v>
      </c>
    </row>
    <row r="30" spans="1:12" x14ac:dyDescent="0.35">
      <c r="A30" s="1" t="s">
        <v>28</v>
      </c>
      <c r="B30" s="4">
        <v>15464.204047457457</v>
      </c>
      <c r="C30" s="4">
        <v>17469.719322996061</v>
      </c>
      <c r="D30" s="4">
        <v>17300.512894109761</v>
      </c>
      <c r="E30" s="4">
        <v>15894.471833361886</v>
      </c>
      <c r="F30" s="4">
        <v>14862.180494766131</v>
      </c>
      <c r="G30" s="4">
        <v>15938.965670632861</v>
      </c>
      <c r="H30" s="4">
        <v>17296.875949671652</v>
      </c>
      <c r="I30" s="4">
        <v>16647.349847957124</v>
      </c>
      <c r="J30" s="4">
        <v>15937.312588602039</v>
      </c>
      <c r="K30" s="4">
        <v>16691.285019820163</v>
      </c>
      <c r="L30" s="4">
        <v>15133.38541613712</v>
      </c>
    </row>
    <row r="31" spans="1:12" x14ac:dyDescent="0.35">
      <c r="A31" s="5"/>
      <c r="B31" s="6"/>
      <c r="C31" s="6"/>
      <c r="D31" s="6"/>
      <c r="E31" s="6"/>
      <c r="F31" s="6"/>
      <c r="G31" s="6"/>
      <c r="H31" s="6"/>
      <c r="I31" s="6"/>
      <c r="J31" s="6"/>
      <c r="K31" s="6"/>
      <c r="L31" s="6"/>
    </row>
    <row r="32" spans="1:12" x14ac:dyDescent="0.35">
      <c r="A32" s="1" t="s">
        <v>4</v>
      </c>
      <c r="B32" s="2">
        <v>3.5000000000000003E-2</v>
      </c>
      <c r="C32" s="2">
        <v>0.04</v>
      </c>
      <c r="D32" s="2">
        <v>4.4999999999999998E-2</v>
      </c>
      <c r="E32" s="2">
        <v>0.05</v>
      </c>
      <c r="F32" s="2">
        <v>5.5E-2</v>
      </c>
      <c r="G32" s="2">
        <v>0.06</v>
      </c>
      <c r="H32" s="2">
        <v>6.5000000000000002E-2</v>
      </c>
      <c r="I32" s="2">
        <v>7.0000000000000007E-2</v>
      </c>
      <c r="J32" s="2">
        <v>7.4999999999999997E-2</v>
      </c>
      <c r="K32" s="2">
        <v>0.08</v>
      </c>
      <c r="L32" s="2">
        <v>8.5000000000000006E-2</v>
      </c>
    </row>
    <row r="33" spans="1:12" x14ac:dyDescent="0.35">
      <c r="A33" s="1" t="s">
        <v>28</v>
      </c>
      <c r="B33" s="4">
        <v>25605.089115622286</v>
      </c>
      <c r="C33" s="4">
        <v>22443.888009905353</v>
      </c>
      <c r="D33" s="4">
        <v>20304.394987810425</v>
      </c>
      <c r="E33" s="4">
        <v>17525.131671535462</v>
      </c>
      <c r="F33" s="4">
        <v>15980.426789277783</v>
      </c>
      <c r="G33" s="4">
        <v>16456.039284140101</v>
      </c>
      <c r="H33" s="4">
        <v>14681.309525678238</v>
      </c>
      <c r="I33" s="4">
        <v>13058.431560738216</v>
      </c>
      <c r="J33" s="4">
        <v>10548.266962024614</v>
      </c>
      <c r="K33" s="4">
        <v>10832.29811187843</v>
      </c>
      <c r="L33" s="4">
        <v>9017.5678855617662</v>
      </c>
    </row>
    <row r="34" spans="1:12" x14ac:dyDescent="0.35">
      <c r="A34" s="1"/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</row>
    <row r="35" spans="1:12" x14ac:dyDescent="0.35">
      <c r="A35" s="1" t="s">
        <v>5</v>
      </c>
      <c r="B35" s="2">
        <v>0.1</v>
      </c>
      <c r="C35" s="2">
        <v>0.12</v>
      </c>
      <c r="D35" s="2">
        <v>0.14000000000000001</v>
      </c>
      <c r="E35" s="2">
        <v>0.16</v>
      </c>
      <c r="F35" s="2">
        <v>0.18</v>
      </c>
      <c r="G35" s="2">
        <v>0.2</v>
      </c>
      <c r="H35" s="2">
        <v>0.22</v>
      </c>
      <c r="I35" s="2">
        <v>0.24</v>
      </c>
      <c r="J35" s="2">
        <v>0.26</v>
      </c>
      <c r="K35" s="2">
        <v>0.28000000000000003</v>
      </c>
      <c r="L35" s="2">
        <v>0.3</v>
      </c>
    </row>
    <row r="36" spans="1:12" x14ac:dyDescent="0.35">
      <c r="A36" s="5" t="s">
        <v>28</v>
      </c>
      <c r="B36" s="10">
        <v>1297.5984538154569</v>
      </c>
      <c r="C36" s="10">
        <v>3255.7854310594325</v>
      </c>
      <c r="D36" s="10">
        <v>6515.8148781174541</v>
      </c>
      <c r="E36" s="10">
        <v>9767.2182103982905</v>
      </c>
      <c r="F36" s="10">
        <v>13063.982532377138</v>
      </c>
      <c r="G36" s="10">
        <v>15859.924808550048</v>
      </c>
      <c r="H36" s="10">
        <v>20284.734101140315</v>
      </c>
      <c r="I36" s="10">
        <v>22211.583608297417</v>
      </c>
      <c r="J36" s="10">
        <v>25296.973178630167</v>
      </c>
      <c r="K36" s="10">
        <v>29731.902674526242</v>
      </c>
      <c r="L36" s="10">
        <v>30386.535287015467</v>
      </c>
    </row>
    <row r="39" spans="1:12" x14ac:dyDescent="0.35">
      <c r="A39" t="s">
        <v>32</v>
      </c>
    </row>
    <row r="40" spans="1:12" x14ac:dyDescent="0.35">
      <c r="A40" s="1" t="s">
        <v>27</v>
      </c>
      <c r="B40" s="2">
        <v>0.01</v>
      </c>
      <c r="C40" s="2">
        <v>1.2E-2</v>
      </c>
      <c r="D40" s="2">
        <v>1.4E-2</v>
      </c>
      <c r="E40" s="2">
        <v>1.6E-2</v>
      </c>
      <c r="F40" s="2">
        <v>1.7999999999999999E-2</v>
      </c>
      <c r="G40" s="2">
        <v>0.02</v>
      </c>
      <c r="H40" s="2">
        <v>2.1999999999999999E-2</v>
      </c>
      <c r="I40" s="2">
        <v>2.4E-2</v>
      </c>
      <c r="J40" s="2">
        <v>2.5999999999999999E-2</v>
      </c>
      <c r="K40" s="2">
        <v>2.8000000000000001E-2</v>
      </c>
      <c r="L40" s="2">
        <v>0.03</v>
      </c>
    </row>
    <row r="41" spans="1:12" x14ac:dyDescent="0.35">
      <c r="A41" s="1" t="s">
        <v>28</v>
      </c>
      <c r="B41" s="4">
        <v>1875.8539430181606</v>
      </c>
      <c r="C41" s="4">
        <v>1856.1333715614082</v>
      </c>
      <c r="D41" s="4">
        <v>1787.4628769224389</v>
      </c>
      <c r="E41" s="4">
        <v>1958.6350153403152</v>
      </c>
      <c r="F41" s="4">
        <v>1848.9773965474212</v>
      </c>
      <c r="G41" s="4">
        <v>1846.9990340123682</v>
      </c>
      <c r="H41" s="4">
        <v>1840.6710546459917</v>
      </c>
      <c r="I41" s="4">
        <v>1919.2586291657828</v>
      </c>
      <c r="J41" s="4">
        <v>1811.9430203944214</v>
      </c>
      <c r="K41" s="4">
        <v>1687.0909102106866</v>
      </c>
      <c r="L41" s="4">
        <v>1831.1522856204081</v>
      </c>
    </row>
    <row r="42" spans="1:12" x14ac:dyDescent="0.35">
      <c r="A42" s="5"/>
      <c r="B42" s="6"/>
      <c r="C42" s="6"/>
      <c r="D42" s="6"/>
      <c r="E42" s="6"/>
      <c r="F42" s="6"/>
      <c r="G42" s="6"/>
      <c r="H42" s="6"/>
      <c r="I42" s="6"/>
      <c r="J42" s="6"/>
      <c r="K42" s="6"/>
      <c r="L42" s="6"/>
    </row>
    <row r="43" spans="1:12" x14ac:dyDescent="0.35">
      <c r="A43" s="1" t="s">
        <v>4</v>
      </c>
      <c r="B43" s="2">
        <v>3.5000000000000003E-2</v>
      </c>
      <c r="C43" s="2">
        <v>0.04</v>
      </c>
      <c r="D43" s="2">
        <v>4.4999999999999998E-2</v>
      </c>
      <c r="E43" s="2">
        <v>0.05</v>
      </c>
      <c r="F43" s="2">
        <v>5.5E-2</v>
      </c>
      <c r="G43" s="2">
        <v>0.06</v>
      </c>
      <c r="H43" s="2">
        <v>6.5000000000000002E-2</v>
      </c>
      <c r="I43" s="2">
        <v>7.0000000000000007E-2</v>
      </c>
      <c r="J43" s="2">
        <v>7.4999999999999997E-2</v>
      </c>
      <c r="K43" s="2">
        <v>0.08</v>
      </c>
      <c r="L43" s="2">
        <v>8.5000000000000006E-2</v>
      </c>
    </row>
    <row r="44" spans="1:12" x14ac:dyDescent="0.35">
      <c r="A44" s="1" t="s">
        <v>28</v>
      </c>
      <c r="B44" s="4">
        <v>1996.2641923694136</v>
      </c>
      <c r="C44" s="4">
        <v>1952.1556218735304</v>
      </c>
      <c r="D44" s="4">
        <v>1939.1385861279175</v>
      </c>
      <c r="E44" s="4">
        <v>1820.3573991760618</v>
      </c>
      <c r="F44" s="4">
        <v>1862.8068183154628</v>
      </c>
      <c r="G44" s="4">
        <v>1777.0657138701515</v>
      </c>
      <c r="H44" s="4">
        <v>1744.0489604544839</v>
      </c>
      <c r="I44" s="4">
        <v>1706.6994724413562</v>
      </c>
      <c r="J44" s="4">
        <v>1592.4951577672957</v>
      </c>
      <c r="K44" s="4">
        <v>1564.0466383150329</v>
      </c>
      <c r="L44" s="4">
        <v>1546.0206606082036</v>
      </c>
    </row>
    <row r="45" spans="1:12" x14ac:dyDescent="0.35">
      <c r="A45" s="1"/>
      <c r="B45" s="2"/>
      <c r="C45" s="2"/>
      <c r="D45" s="2"/>
      <c r="E45" s="2"/>
      <c r="F45" s="2"/>
      <c r="G45" s="2"/>
      <c r="H45" s="2"/>
      <c r="I45" s="2"/>
      <c r="J45" s="2"/>
      <c r="K45" s="2"/>
      <c r="L45" s="2"/>
    </row>
    <row r="46" spans="1:12" x14ac:dyDescent="0.35">
      <c r="A46" s="1" t="s">
        <v>5</v>
      </c>
      <c r="B46" s="2">
        <v>0.1</v>
      </c>
      <c r="C46" s="2">
        <v>0.12</v>
      </c>
      <c r="D46" s="2">
        <v>0.14000000000000001</v>
      </c>
      <c r="E46" s="2">
        <v>0.16</v>
      </c>
      <c r="F46" s="2">
        <v>0.18</v>
      </c>
      <c r="G46" s="2">
        <v>0.2</v>
      </c>
      <c r="H46" s="2">
        <v>0.22</v>
      </c>
      <c r="I46" s="2">
        <v>0.24</v>
      </c>
      <c r="J46" s="2">
        <v>0.26</v>
      </c>
      <c r="K46" s="2">
        <v>0.28000000000000003</v>
      </c>
      <c r="L46" s="2">
        <v>0.3</v>
      </c>
    </row>
    <row r="47" spans="1:12" x14ac:dyDescent="0.35">
      <c r="A47" s="5" t="s">
        <v>28</v>
      </c>
      <c r="B47" s="10">
        <v>419.63291060981641</v>
      </c>
      <c r="C47" s="10">
        <v>705.24474977954037</v>
      </c>
      <c r="D47" s="10">
        <v>1014.5144170693634</v>
      </c>
      <c r="E47" s="10">
        <v>1207.59344353456</v>
      </c>
      <c r="F47" s="10">
        <v>1531.61934167756</v>
      </c>
      <c r="G47" s="10">
        <v>1759.722444795668</v>
      </c>
      <c r="H47" s="10">
        <v>2023.331422396315</v>
      </c>
      <c r="I47" s="10">
        <v>2428.7666545651305</v>
      </c>
      <c r="J47" s="10">
        <v>2628.0365497197758</v>
      </c>
      <c r="K47" s="10">
        <v>2875.7133908073124</v>
      </c>
      <c r="L47" s="10">
        <v>3011.7698209356481</v>
      </c>
    </row>
    <row r="51" spans="1:12" x14ac:dyDescent="0.35">
      <c r="A51" t="s">
        <v>31</v>
      </c>
    </row>
    <row r="52" spans="1:12" x14ac:dyDescent="0.35">
      <c r="A52" s="1" t="s">
        <v>27</v>
      </c>
      <c r="B52" s="2">
        <v>0.01</v>
      </c>
      <c r="C52" s="2">
        <v>1.2E-2</v>
      </c>
      <c r="D52" s="2">
        <v>1.4E-2</v>
      </c>
      <c r="E52" s="2">
        <v>1.6E-2</v>
      </c>
      <c r="F52" s="2">
        <v>1.7999999999999999E-2</v>
      </c>
      <c r="G52" s="2">
        <v>0.02</v>
      </c>
      <c r="H52" s="2">
        <v>2.1999999999999999E-2</v>
      </c>
      <c r="I52" s="2">
        <v>2.4E-2</v>
      </c>
      <c r="J52" s="2">
        <v>2.5999999999999999E-2</v>
      </c>
      <c r="K52" s="2">
        <v>2.8000000000000001E-2</v>
      </c>
      <c r="L52" s="2">
        <v>0.03</v>
      </c>
    </row>
    <row r="53" spans="1:12" x14ac:dyDescent="0.35">
      <c r="A53" s="1" t="s">
        <v>28</v>
      </c>
      <c r="B53" s="4">
        <v>7265.2811250326877</v>
      </c>
      <c r="C53" s="4">
        <v>7221.3388368269843</v>
      </c>
      <c r="D53" s="4">
        <v>6460.4018830864979</v>
      </c>
      <c r="E53" s="4">
        <v>6560.3984919457525</v>
      </c>
      <c r="F53" s="4">
        <v>6280.0422168332116</v>
      </c>
      <c r="G53" s="4">
        <v>6333.6580884947161</v>
      </c>
      <c r="H53" s="4">
        <v>6504.9242503527912</v>
      </c>
      <c r="I53" s="4">
        <v>6408.4160352392846</v>
      </c>
      <c r="J53" s="4">
        <v>6074.2577523527789</v>
      </c>
      <c r="K53" s="4">
        <v>6248.7226171983775</v>
      </c>
      <c r="L53" s="4">
        <v>6333.0084100871918</v>
      </c>
    </row>
    <row r="54" spans="1:12" x14ac:dyDescent="0.35">
      <c r="A54" s="5"/>
      <c r="B54" s="6"/>
      <c r="C54" s="6"/>
      <c r="D54" s="6"/>
      <c r="E54" s="6"/>
      <c r="F54" s="6"/>
      <c r="G54" s="6"/>
      <c r="H54" s="6"/>
      <c r="I54" s="6"/>
      <c r="J54" s="6"/>
      <c r="K54" s="6"/>
      <c r="L54" s="6"/>
    </row>
    <row r="55" spans="1:12" x14ac:dyDescent="0.35">
      <c r="A55" s="1" t="s">
        <v>4</v>
      </c>
      <c r="B55" s="2">
        <v>3.5000000000000003E-2</v>
      </c>
      <c r="C55" s="2">
        <v>0.04</v>
      </c>
      <c r="D55" s="2">
        <v>4.4999999999999998E-2</v>
      </c>
      <c r="E55" s="2">
        <v>0.05</v>
      </c>
      <c r="F55" s="2">
        <v>5.5E-2</v>
      </c>
      <c r="G55" s="2">
        <v>0.06</v>
      </c>
      <c r="H55" s="2">
        <v>6.5000000000000002E-2</v>
      </c>
      <c r="I55" s="2">
        <v>7.0000000000000007E-2</v>
      </c>
      <c r="J55" s="2">
        <v>7.4999999999999997E-2</v>
      </c>
      <c r="K55" s="2">
        <v>0.08</v>
      </c>
      <c r="L55" s="2">
        <v>8.5000000000000006E-2</v>
      </c>
    </row>
    <row r="56" spans="1:12" x14ac:dyDescent="0.35">
      <c r="A56" s="1" t="s">
        <v>28</v>
      </c>
      <c r="B56" s="4">
        <v>6897.6747330233584</v>
      </c>
      <c r="C56" s="4">
        <v>6847.9988190140293</v>
      </c>
      <c r="D56" s="4">
        <v>6874.5924926237531</v>
      </c>
      <c r="E56" s="4">
        <v>6406.0437886646523</v>
      </c>
      <c r="F56" s="4">
        <v>6451.2904540471318</v>
      </c>
      <c r="G56" s="4">
        <v>6420.5963412739793</v>
      </c>
      <c r="H56" s="4">
        <v>6383.1221578149371</v>
      </c>
      <c r="I56" s="4">
        <v>6185.9349707405408</v>
      </c>
      <c r="J56" s="4">
        <v>6244.9030873753291</v>
      </c>
      <c r="K56" s="4">
        <v>5967.2739030317507</v>
      </c>
      <c r="L56" s="4">
        <v>6198.8166140299527</v>
      </c>
    </row>
    <row r="57" spans="1:12" x14ac:dyDescent="0.35">
      <c r="A57" s="1"/>
      <c r="B57" s="2"/>
      <c r="C57" s="2"/>
      <c r="D57" s="2"/>
      <c r="E57" s="2"/>
      <c r="F57" s="2"/>
      <c r="G57" s="2"/>
      <c r="H57" s="2"/>
      <c r="I57" s="2"/>
      <c r="J57" s="2"/>
      <c r="K57" s="2"/>
      <c r="L57" s="2"/>
    </row>
    <row r="58" spans="1:12" x14ac:dyDescent="0.35">
      <c r="A58" s="1" t="s">
        <v>5</v>
      </c>
      <c r="B58" s="2">
        <v>0.1</v>
      </c>
      <c r="C58" s="2">
        <v>0.12</v>
      </c>
      <c r="D58" s="2">
        <v>0.14000000000000001</v>
      </c>
      <c r="E58" s="2">
        <v>0.16</v>
      </c>
      <c r="F58" s="2">
        <v>0.18</v>
      </c>
      <c r="G58" s="2">
        <v>0.2</v>
      </c>
      <c r="H58" s="2">
        <v>0.22</v>
      </c>
      <c r="I58" s="2">
        <v>0.24</v>
      </c>
      <c r="J58" s="2">
        <v>0.26</v>
      </c>
      <c r="K58" s="2">
        <v>0.28000000000000003</v>
      </c>
      <c r="L58" s="2">
        <v>0.3</v>
      </c>
    </row>
    <row r="59" spans="1:12" x14ac:dyDescent="0.35">
      <c r="A59" s="5" t="s">
        <v>28</v>
      </c>
      <c r="B59" s="10">
        <v>1592.188423446549</v>
      </c>
      <c r="C59" s="10">
        <v>2495.7236160840157</v>
      </c>
      <c r="D59" s="10">
        <v>3277.4491785565065</v>
      </c>
      <c r="E59" s="10">
        <v>4488.3245133120454</v>
      </c>
      <c r="F59" s="10">
        <v>5587.3710846346639</v>
      </c>
      <c r="G59" s="10">
        <v>6941.9148357952554</v>
      </c>
      <c r="H59" s="10">
        <v>7426.5259878061051</v>
      </c>
      <c r="I59" s="10">
        <v>8135.5268014561452</v>
      </c>
      <c r="J59" s="10">
        <v>8863.8191769569803</v>
      </c>
      <c r="K59" s="10">
        <v>10758.676254466947</v>
      </c>
      <c r="L59" s="10">
        <v>10746.335621558719</v>
      </c>
    </row>
  </sheetData>
  <mergeCells count="2">
    <mergeCell ref="A1:Q1"/>
    <mergeCell ref="A16:L25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parameter_risk.parameter_risk">
                <anchor moveWithCells="1" sizeWithCells="1">
                  <from>
                    <xdr:col>0</xdr:col>
                    <xdr:colOff>730250</xdr:colOff>
                    <xdr:row>10</xdr:row>
                    <xdr:rowOff>158750</xdr:rowOff>
                  </from>
                  <to>
                    <xdr:col>2</xdr:col>
                    <xdr:colOff>44450</xdr:colOff>
                    <xdr:row>13</xdr:row>
                    <xdr:rowOff>107950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00EDBD-FAEE-440F-B5A3-48225913F882}">
  <sheetPr codeName="Sheet2"/>
  <dimension ref="A1:A4"/>
  <sheetViews>
    <sheetView workbookViewId="0">
      <selection activeCell="A6" sqref="A6"/>
    </sheetView>
  </sheetViews>
  <sheetFormatPr defaultRowHeight="14.5" x14ac:dyDescent="0.35"/>
  <sheetData>
    <row r="1" spans="1:1" x14ac:dyDescent="0.35">
      <c r="A1" t="s">
        <v>22</v>
      </c>
    </row>
    <row r="2" spans="1:1" x14ac:dyDescent="0.35">
      <c r="A2" t="s">
        <v>23</v>
      </c>
    </row>
    <row r="3" spans="1:1" x14ac:dyDescent="0.35">
      <c r="A3" t="s">
        <v>25</v>
      </c>
    </row>
    <row r="4" spans="1:1" x14ac:dyDescent="0.35">
      <c r="A4" t="s">
        <v>24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single_premium</vt:lpstr>
      <vt:lpstr>regular_premium</vt:lpstr>
      <vt:lpstr>delta_hedging</vt:lpstr>
      <vt:lpstr>parameter_risk_analysis</vt:lpstr>
      <vt:lpstr>help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Johannes Zaeh</dc:creator>
  <cp:lastModifiedBy>Johannes Zaeh</cp:lastModifiedBy>
  <dcterms:created xsi:type="dcterms:W3CDTF">2024-06-12T11:07:47Z</dcterms:created>
  <dcterms:modified xsi:type="dcterms:W3CDTF">2024-07-03T17:06:09Z</dcterms:modified>
</cp:coreProperties>
</file>